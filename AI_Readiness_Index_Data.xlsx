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rakh\OneDrive\Desktop\"/>
    </mc:Choice>
  </mc:AlternateContent>
  <xr:revisionPtr revIDLastSave="0" documentId="8_{588B767D-8E7B-44B1-8BCE-D3DF1AE47C1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HP_Parameters" sheetId="12" r:id="rId1"/>
    <sheet name="AHP_Factor-wise" sheetId="13" r:id="rId2"/>
    <sheet name="AI_readiness_Data_Transposed" sheetId="6" r:id="rId3"/>
    <sheet name="Normalized_Data" sheetId="9" r:id="rId4"/>
    <sheet name="Scoring" sheetId="10" r:id="rId5"/>
    <sheet name="States" sheetId="1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1" i="13" l="1"/>
  <c r="AQ10" i="13"/>
  <c r="AP10" i="13"/>
  <c r="AO10" i="13"/>
  <c r="AR10" i="13" s="1"/>
  <c r="AG9" i="13"/>
  <c r="N9" i="13"/>
  <c r="N12" i="13" s="1"/>
  <c r="AQ6" i="13"/>
  <c r="AQ11" i="13" s="1"/>
  <c r="AP6" i="13"/>
  <c r="AP9" i="13" s="1"/>
  <c r="AO6" i="13"/>
  <c r="AO9" i="13" s="1"/>
  <c r="X6" i="13"/>
  <c r="X11" i="13" s="1"/>
  <c r="N6" i="13"/>
  <c r="N10" i="13" s="1"/>
  <c r="D6" i="13"/>
  <c r="D11" i="13" s="1"/>
  <c r="C6" i="13"/>
  <c r="C10" i="13" s="1"/>
  <c r="B6" i="13"/>
  <c r="B11" i="13" s="1"/>
  <c r="AP5" i="13"/>
  <c r="AP17" i="13" s="1"/>
  <c r="AO5" i="13"/>
  <c r="AG5" i="13"/>
  <c r="AG10" i="13" s="1"/>
  <c r="AG11" i="13" s="1"/>
  <c r="W5" i="13"/>
  <c r="W6" i="13" s="1"/>
  <c r="V5" i="13"/>
  <c r="M5" i="13"/>
  <c r="L5" i="13"/>
  <c r="C5" i="13"/>
  <c r="C11" i="13" s="1"/>
  <c r="B5" i="13"/>
  <c r="AO4" i="13"/>
  <c r="AF4" i="13"/>
  <c r="V4" i="13"/>
  <c r="V6" i="13" s="1"/>
  <c r="L4" i="13"/>
  <c r="B4" i="13"/>
  <c r="B10" i="13" s="1"/>
  <c r="AF10" i="13" l="1"/>
  <c r="AH10" i="13" s="1"/>
  <c r="E11" i="13"/>
  <c r="AO12" i="13"/>
  <c r="E10" i="13"/>
  <c r="AP15" i="13"/>
  <c r="AP16" i="13"/>
  <c r="AS16" i="13"/>
  <c r="V9" i="13"/>
  <c r="V10" i="13"/>
  <c r="W10" i="13"/>
  <c r="W9" i="13"/>
  <c r="M11" i="13"/>
  <c r="X9" i="13"/>
  <c r="D10" i="13"/>
  <c r="AO11" i="13"/>
  <c r="AF5" i="13"/>
  <c r="AF9" i="13" s="1"/>
  <c r="B9" i="13"/>
  <c r="AP11" i="13"/>
  <c r="AP12" i="13" s="1"/>
  <c r="L6" i="13"/>
  <c r="L9" i="13" s="1"/>
  <c r="X10" i="13"/>
  <c r="C9" i="13"/>
  <c r="C12" i="13" s="1"/>
  <c r="AQ9" i="13"/>
  <c r="AQ12" i="13" s="1"/>
  <c r="W11" i="13"/>
  <c r="M6" i="13"/>
  <c r="V11" i="13"/>
  <c r="D9" i="13"/>
  <c r="AG15" i="13" l="1"/>
  <c r="AI16" i="13"/>
  <c r="AG16" i="13"/>
  <c r="V12" i="13"/>
  <c r="Y9" i="13"/>
  <c r="AR11" i="13"/>
  <c r="Y10" i="13"/>
  <c r="AF11" i="13"/>
  <c r="AH9" i="13"/>
  <c r="D12" i="13"/>
  <c r="X12" i="13"/>
  <c r="AR9" i="13"/>
  <c r="B12" i="13"/>
  <c r="E9" i="13"/>
  <c r="C16" i="13"/>
  <c r="F16" i="13"/>
  <c r="C15" i="13"/>
  <c r="O9" i="13"/>
  <c r="L12" i="13"/>
  <c r="L10" i="13"/>
  <c r="L11" i="13"/>
  <c r="O11" i="13" s="1"/>
  <c r="Y11" i="13"/>
  <c r="C17" i="13"/>
  <c r="F17" i="13"/>
  <c r="D17" i="13"/>
  <c r="D15" i="13"/>
  <c r="D16" i="13"/>
  <c r="M10" i="13"/>
  <c r="M9" i="13"/>
  <c r="W12" i="13"/>
  <c r="AF15" i="13" l="1"/>
  <c r="AH15" i="13" s="1"/>
  <c r="AJ15" i="13" s="1"/>
  <c r="AJ17" i="13" s="1"/>
  <c r="AK15" i="13" s="1"/>
  <c r="AL15" i="13" s="1"/>
  <c r="AH11" i="13"/>
  <c r="AF16" i="13"/>
  <c r="AH16" i="13" s="1"/>
  <c r="AJ16" i="13" s="1"/>
  <c r="AI15" i="13"/>
  <c r="AI9" i="13" a="1"/>
  <c r="AI9" i="13" s="1"/>
  <c r="W17" i="13"/>
  <c r="W15" i="13"/>
  <c r="Z16" i="13"/>
  <c r="W16" i="13"/>
  <c r="X15" i="13"/>
  <c r="X16" i="13"/>
  <c r="X17" i="13"/>
  <c r="Z17" i="13"/>
  <c r="B15" i="13"/>
  <c r="E15" i="13" s="1"/>
  <c r="G15" i="13" s="1"/>
  <c r="G18" i="13" s="1"/>
  <c r="H15" i="13" s="1"/>
  <c r="I15" i="13" s="1"/>
  <c r="B17" i="13"/>
  <c r="E17" i="13" s="1"/>
  <c r="G17" i="13" s="1"/>
  <c r="F15" i="13"/>
  <c r="F9" i="13" a="1"/>
  <c r="F9" i="13" s="1"/>
  <c r="E12" i="13"/>
  <c r="B16" i="13"/>
  <c r="E16" i="13" s="1"/>
  <c r="G16" i="13" s="1"/>
  <c r="AQ16" i="13"/>
  <c r="AQ17" i="13"/>
  <c r="AQ15" i="13"/>
  <c r="AS17" i="13"/>
  <c r="M12" i="13"/>
  <c r="N16" i="13"/>
  <c r="P17" i="13"/>
  <c r="N17" i="13"/>
  <c r="N15" i="13"/>
  <c r="V15" i="13"/>
  <c r="Z9" i="13" a="1"/>
  <c r="Z9" i="13" s="1"/>
  <c r="Z15" i="13"/>
  <c r="V16" i="13"/>
  <c r="Y12" i="13"/>
  <c r="V17" i="13"/>
  <c r="O10" i="13"/>
  <c r="AS9" i="13" a="1"/>
  <c r="AS9" i="13" s="1"/>
  <c r="AO15" i="13"/>
  <c r="AR12" i="13"/>
  <c r="AS15" i="13"/>
  <c r="AO17" i="13"/>
  <c r="AO16" i="13"/>
  <c r="AR16" i="13" s="1"/>
  <c r="AT16" i="13" s="1"/>
  <c r="L15" i="13"/>
  <c r="P9" i="13" a="1"/>
  <c r="P9" i="13" s="1"/>
  <c r="P15" i="13"/>
  <c r="L16" i="13"/>
  <c r="L17" i="13"/>
  <c r="AR17" i="13" l="1"/>
  <c r="AT17" i="13" s="1"/>
  <c r="Y16" i="13"/>
  <c r="AA16" i="13" s="1"/>
  <c r="M15" i="13"/>
  <c r="O15" i="13" s="1"/>
  <c r="Q15" i="13" s="1"/>
  <c r="M16" i="13"/>
  <c r="O16" i="13" s="1"/>
  <c r="Q16" i="13" s="1"/>
  <c r="P16" i="13"/>
  <c r="M17" i="13"/>
  <c r="O17" i="13" s="1"/>
  <c r="Q17" i="13" s="1"/>
  <c r="O12" i="13"/>
  <c r="Y17" i="13"/>
  <c r="AA17" i="13" s="1"/>
  <c r="AR15" i="13"/>
  <c r="AT15" i="13" s="1"/>
  <c r="Y15" i="13"/>
  <c r="AA15" i="13" s="1"/>
  <c r="Q18" i="13" l="1"/>
  <c r="R15" i="13" s="1"/>
  <c r="S15" i="13" s="1"/>
  <c r="AA18" i="13"/>
  <c r="AB15" i="13" s="1"/>
  <c r="AC15" i="13" s="1"/>
  <c r="AT18" i="13"/>
  <c r="AU15" i="13" s="1"/>
  <c r="AV15" i="13" s="1"/>
  <c r="F13" i="12" l="1"/>
  <c r="F8" i="12"/>
  <c r="F14" i="12" s="1"/>
  <c r="D8" i="12"/>
  <c r="D13" i="12" s="1"/>
  <c r="E7" i="12"/>
  <c r="E8" i="12" s="1"/>
  <c r="D7" i="12"/>
  <c r="D15" i="12" s="1"/>
  <c r="C7" i="12"/>
  <c r="B7" i="12"/>
  <c r="D6" i="12"/>
  <c r="D14" i="12" s="1"/>
  <c r="C6" i="12"/>
  <c r="B6" i="12"/>
  <c r="C5" i="12"/>
  <c r="B5" i="12"/>
  <c r="B4" i="12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J17" i="10"/>
  <c r="AK17" i="10"/>
  <c r="AL17" i="10"/>
  <c r="AM17" i="10"/>
  <c r="AN17" i="10"/>
  <c r="E17" i="10"/>
  <c r="Y25" i="6"/>
  <c r="AK7" i="6"/>
  <c r="AN6" i="6"/>
  <c r="AM6" i="6"/>
  <c r="AJ5" i="6"/>
  <c r="AN4" i="6"/>
  <c r="B5" i="6" s="1"/>
  <c r="AM4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AH31" i="6"/>
  <c r="T31" i="6"/>
  <c r="R31" i="6"/>
  <c r="L31" i="6"/>
  <c r="O29" i="6"/>
  <c r="AF21" i="6"/>
  <c r="V21" i="6"/>
  <c r="H21" i="6"/>
  <c r="F21" i="6"/>
  <c r="AI19" i="6"/>
  <c r="C19" i="6"/>
  <c r="AJ13" i="6"/>
  <c r="AH13" i="6"/>
  <c r="AB13" i="6"/>
  <c r="R13" i="6"/>
  <c r="D13" i="6"/>
  <c r="I11" i="6"/>
  <c r="AN30" i="6"/>
  <c r="AM30" i="6"/>
  <c r="AJ31" i="6" s="1"/>
  <c r="AN28" i="6"/>
  <c r="AM28" i="6"/>
  <c r="U29" i="6" s="1"/>
  <c r="AN26" i="6"/>
  <c r="AE27" i="6" s="1"/>
  <c r="AM26" i="6"/>
  <c r="AN24" i="6"/>
  <c r="AM24" i="6"/>
  <c r="AN20" i="6"/>
  <c r="AM20" i="6"/>
  <c r="X21" i="6" s="1"/>
  <c r="AN18" i="6"/>
  <c r="AM18" i="6"/>
  <c r="I19" i="6" s="1"/>
  <c r="AN16" i="6"/>
  <c r="AI17" i="6" s="1"/>
  <c r="AM16" i="6"/>
  <c r="AN14" i="6"/>
  <c r="AM14" i="6"/>
  <c r="AN12" i="6"/>
  <c r="AM12" i="6"/>
  <c r="T13" i="6" s="1"/>
  <c r="AN10" i="6"/>
  <c r="AM10" i="6"/>
  <c r="C11" i="6" s="1"/>
  <c r="AN8" i="6"/>
  <c r="I9" i="6" s="1"/>
  <c r="AM8" i="6"/>
  <c r="C14" i="12" l="1"/>
  <c r="E14" i="12"/>
  <c r="E12" i="12"/>
  <c r="E11" i="12"/>
  <c r="E13" i="12"/>
  <c r="D11" i="12"/>
  <c r="D12" i="12"/>
  <c r="B8" i="12"/>
  <c r="C8" i="12"/>
  <c r="C13" i="12" s="1"/>
  <c r="F11" i="12"/>
  <c r="F12" i="12"/>
  <c r="F15" i="12"/>
  <c r="E15" i="12"/>
  <c r="H9" i="6"/>
  <c r="AI11" i="6"/>
  <c r="D11" i="6"/>
  <c r="AF19" i="6"/>
  <c r="AJ29" i="6"/>
  <c r="AG11" i="6"/>
  <c r="K19" i="6"/>
  <c r="P27" i="6"/>
  <c r="W29" i="6"/>
  <c r="AA11" i="6"/>
  <c r="J13" i="6"/>
  <c r="D17" i="6"/>
  <c r="Q19" i="6"/>
  <c r="N21" i="6"/>
  <c r="X27" i="6"/>
  <c r="AC29" i="6"/>
  <c r="Z31" i="6"/>
  <c r="AE13" i="6"/>
  <c r="AI21" i="6"/>
  <c r="AG31" i="6"/>
  <c r="Y11" i="6"/>
  <c r="L13" i="6"/>
  <c r="L17" i="6"/>
  <c r="S19" i="6"/>
  <c r="P21" i="6"/>
  <c r="AF27" i="6"/>
  <c r="AE29" i="6"/>
  <c r="AB31" i="6"/>
  <c r="H27" i="6"/>
  <c r="AF9" i="6"/>
  <c r="S11" i="6"/>
  <c r="T17" i="6"/>
  <c r="Y19" i="6"/>
  <c r="E29" i="6"/>
  <c r="AK29" i="6"/>
  <c r="F7" i="6"/>
  <c r="AD15" i="6"/>
  <c r="AH25" i="6"/>
  <c r="X9" i="6"/>
  <c r="Q11" i="6"/>
  <c r="AB17" i="6"/>
  <c r="AA19" i="6"/>
  <c r="G29" i="6"/>
  <c r="D31" i="6"/>
  <c r="P9" i="6"/>
  <c r="K11" i="6"/>
  <c r="Z13" i="6"/>
  <c r="AJ17" i="6"/>
  <c r="AG19" i="6"/>
  <c r="AD21" i="6"/>
  <c r="M29" i="6"/>
  <c r="J31" i="6"/>
  <c r="E7" i="6"/>
  <c r="G15" i="6"/>
  <c r="C25" i="6"/>
  <c r="K25" i="6"/>
  <c r="AI25" i="6"/>
  <c r="AJ7" i="6"/>
  <c r="AJ32" i="6" s="1"/>
  <c r="AB7" i="6"/>
  <c r="T7" i="6"/>
  <c r="L7" i="6"/>
  <c r="D7" i="6"/>
  <c r="AE9" i="6"/>
  <c r="W9" i="6"/>
  <c r="O9" i="6"/>
  <c r="G9" i="6"/>
  <c r="AH11" i="6"/>
  <c r="Z11" i="6"/>
  <c r="R11" i="6"/>
  <c r="J11" i="6"/>
  <c r="C13" i="6"/>
  <c r="K13" i="6"/>
  <c r="S13" i="6"/>
  <c r="AA13" i="6"/>
  <c r="AI13" i="6"/>
  <c r="H15" i="6"/>
  <c r="P15" i="6"/>
  <c r="X15" i="6"/>
  <c r="AF15" i="6"/>
  <c r="E17" i="6"/>
  <c r="M17" i="6"/>
  <c r="U17" i="6"/>
  <c r="AC17" i="6"/>
  <c r="AK17" i="6"/>
  <c r="J19" i="6"/>
  <c r="R19" i="6"/>
  <c r="Z19" i="6"/>
  <c r="AH19" i="6"/>
  <c r="G21" i="6"/>
  <c r="O21" i="6"/>
  <c r="W21" i="6"/>
  <c r="AE21" i="6"/>
  <c r="D25" i="6"/>
  <c r="L25" i="6"/>
  <c r="T25" i="6"/>
  <c r="AB25" i="6"/>
  <c r="AJ25" i="6"/>
  <c r="I27" i="6"/>
  <c r="Q27" i="6"/>
  <c r="Y27" i="6"/>
  <c r="AG27" i="6"/>
  <c r="F29" i="6"/>
  <c r="N29" i="6"/>
  <c r="V29" i="6"/>
  <c r="AD29" i="6"/>
  <c r="C31" i="6"/>
  <c r="K31" i="6"/>
  <c r="S31" i="6"/>
  <c r="AA31" i="6"/>
  <c r="AI31" i="6"/>
  <c r="AC7" i="6"/>
  <c r="AE15" i="6"/>
  <c r="AI7" i="6"/>
  <c r="AD9" i="6"/>
  <c r="I15" i="6"/>
  <c r="F17" i="6"/>
  <c r="AD17" i="6"/>
  <c r="M25" i="6"/>
  <c r="AC25" i="6"/>
  <c r="R27" i="6"/>
  <c r="AH7" i="6"/>
  <c r="Z7" i="6"/>
  <c r="R7" i="6"/>
  <c r="J7" i="6"/>
  <c r="AK9" i="6"/>
  <c r="AC9" i="6"/>
  <c r="U9" i="6"/>
  <c r="M9" i="6"/>
  <c r="E9" i="6"/>
  <c r="AF11" i="6"/>
  <c r="X11" i="6"/>
  <c r="P11" i="6"/>
  <c r="H11" i="6"/>
  <c r="E13" i="6"/>
  <c r="M13" i="6"/>
  <c r="U13" i="6"/>
  <c r="AC13" i="6"/>
  <c r="AK13" i="6"/>
  <c r="J15" i="6"/>
  <c r="R15" i="6"/>
  <c r="Z15" i="6"/>
  <c r="AH15" i="6"/>
  <c r="G17" i="6"/>
  <c r="O17" i="6"/>
  <c r="W17" i="6"/>
  <c r="AE17" i="6"/>
  <c r="D19" i="6"/>
  <c r="L19" i="6"/>
  <c r="T19" i="6"/>
  <c r="AB19" i="6"/>
  <c r="AJ19" i="6"/>
  <c r="I21" i="6"/>
  <c r="Q21" i="6"/>
  <c r="Y21" i="6"/>
  <c r="AG21" i="6"/>
  <c r="F25" i="6"/>
  <c r="N25" i="6"/>
  <c r="V25" i="6"/>
  <c r="AD25" i="6"/>
  <c r="C27" i="6"/>
  <c r="K27" i="6"/>
  <c r="S27" i="6"/>
  <c r="AA27" i="6"/>
  <c r="AI27" i="6"/>
  <c r="H29" i="6"/>
  <c r="P29" i="6"/>
  <c r="X29" i="6"/>
  <c r="AF29" i="6"/>
  <c r="E31" i="6"/>
  <c r="M31" i="6"/>
  <c r="U31" i="6"/>
  <c r="AC31" i="6"/>
  <c r="AK31" i="6"/>
  <c r="M7" i="6"/>
  <c r="AA25" i="6"/>
  <c r="S7" i="6"/>
  <c r="C7" i="6"/>
  <c r="F9" i="6"/>
  <c r="AG15" i="6"/>
  <c r="V17" i="6"/>
  <c r="E25" i="6"/>
  <c r="U25" i="6"/>
  <c r="AK25" i="6"/>
  <c r="J27" i="6"/>
  <c r="Z27" i="6"/>
  <c r="AH27" i="6"/>
  <c r="AG7" i="6"/>
  <c r="Y7" i="6"/>
  <c r="Q7" i="6"/>
  <c r="I7" i="6"/>
  <c r="AJ9" i="6"/>
  <c r="AB9" i="6"/>
  <c r="T9" i="6"/>
  <c r="L9" i="6"/>
  <c r="D9" i="6"/>
  <c r="AE11" i="6"/>
  <c r="W11" i="6"/>
  <c r="O11" i="6"/>
  <c r="G11" i="6"/>
  <c r="F13" i="6"/>
  <c r="N13" i="6"/>
  <c r="V13" i="6"/>
  <c r="AD13" i="6"/>
  <c r="C15" i="6"/>
  <c r="K15" i="6"/>
  <c r="S15" i="6"/>
  <c r="AA15" i="6"/>
  <c r="AI15" i="6"/>
  <c r="H17" i="6"/>
  <c r="P17" i="6"/>
  <c r="X17" i="6"/>
  <c r="AF17" i="6"/>
  <c r="E19" i="6"/>
  <c r="M19" i="6"/>
  <c r="U19" i="6"/>
  <c r="AC19" i="6"/>
  <c r="AK19" i="6"/>
  <c r="J21" i="6"/>
  <c r="R21" i="6"/>
  <c r="Z21" i="6"/>
  <c r="AH21" i="6"/>
  <c r="G25" i="6"/>
  <c r="O25" i="6"/>
  <c r="W25" i="6"/>
  <c r="AE25" i="6"/>
  <c r="D27" i="6"/>
  <c r="L27" i="6"/>
  <c r="T27" i="6"/>
  <c r="AB27" i="6"/>
  <c r="AJ27" i="6"/>
  <c r="I29" i="6"/>
  <c r="Q29" i="6"/>
  <c r="Y29" i="6"/>
  <c r="AG29" i="6"/>
  <c r="F31" i="6"/>
  <c r="N31" i="6"/>
  <c r="V31" i="6"/>
  <c r="AD31" i="6"/>
  <c r="N9" i="6"/>
  <c r="Q15" i="6"/>
  <c r="AF7" i="6"/>
  <c r="X7" i="6"/>
  <c r="P7" i="6"/>
  <c r="H7" i="6"/>
  <c r="AI9" i="6"/>
  <c r="AA9" i="6"/>
  <c r="S9" i="6"/>
  <c r="K9" i="6"/>
  <c r="C9" i="6"/>
  <c r="AD11" i="6"/>
  <c r="V11" i="6"/>
  <c r="N11" i="6"/>
  <c r="F11" i="6"/>
  <c r="G13" i="6"/>
  <c r="O13" i="6"/>
  <c r="W13" i="6"/>
  <c r="D15" i="6"/>
  <c r="L15" i="6"/>
  <c r="T15" i="6"/>
  <c r="AB15" i="6"/>
  <c r="AJ15" i="6"/>
  <c r="I17" i="6"/>
  <c r="Q17" i="6"/>
  <c r="Y17" i="6"/>
  <c r="AG17" i="6"/>
  <c r="F19" i="6"/>
  <c r="N19" i="6"/>
  <c r="V19" i="6"/>
  <c r="AD19" i="6"/>
  <c r="C21" i="6"/>
  <c r="K21" i="6"/>
  <c r="S21" i="6"/>
  <c r="AA21" i="6"/>
  <c r="H25" i="6"/>
  <c r="P25" i="6"/>
  <c r="X25" i="6"/>
  <c r="AF25" i="6"/>
  <c r="E27" i="6"/>
  <c r="M27" i="6"/>
  <c r="U27" i="6"/>
  <c r="AC27" i="6"/>
  <c r="AK27" i="6"/>
  <c r="J29" i="6"/>
  <c r="R29" i="6"/>
  <c r="Z29" i="6"/>
  <c r="AH29" i="6"/>
  <c r="G31" i="6"/>
  <c r="O31" i="6"/>
  <c r="W31" i="6"/>
  <c r="AE31" i="6"/>
  <c r="U7" i="6"/>
  <c r="W15" i="6"/>
  <c r="S25" i="6"/>
  <c r="AA7" i="6"/>
  <c r="V9" i="6"/>
  <c r="N17" i="6"/>
  <c r="AF5" i="6"/>
  <c r="AF32" i="6" s="1"/>
  <c r="B13" i="6"/>
  <c r="B21" i="6"/>
  <c r="AE7" i="6"/>
  <c r="W7" i="6"/>
  <c r="O7" i="6"/>
  <c r="G7" i="6"/>
  <c r="AH9" i="6"/>
  <c r="Z9" i="6"/>
  <c r="R9" i="6"/>
  <c r="J9" i="6"/>
  <c r="AK11" i="6"/>
  <c r="AC11" i="6"/>
  <c r="U11" i="6"/>
  <c r="M11" i="6"/>
  <c r="E11" i="6"/>
  <c r="H13" i="6"/>
  <c r="P13" i="6"/>
  <c r="X13" i="6"/>
  <c r="AF13" i="6"/>
  <c r="E15" i="6"/>
  <c r="M15" i="6"/>
  <c r="U15" i="6"/>
  <c r="AC15" i="6"/>
  <c r="AK15" i="6"/>
  <c r="J17" i="6"/>
  <c r="R17" i="6"/>
  <c r="Z17" i="6"/>
  <c r="AH17" i="6"/>
  <c r="G19" i="6"/>
  <c r="O19" i="6"/>
  <c r="W19" i="6"/>
  <c r="AE19" i="6"/>
  <c r="D21" i="6"/>
  <c r="L21" i="6"/>
  <c r="T21" i="6"/>
  <c r="AB21" i="6"/>
  <c r="AJ21" i="6"/>
  <c r="I25" i="6"/>
  <c r="Q25" i="6"/>
  <c r="AG25" i="6"/>
  <c r="F27" i="6"/>
  <c r="N27" i="6"/>
  <c r="V27" i="6"/>
  <c r="AD27" i="6"/>
  <c r="C29" i="6"/>
  <c r="K29" i="6"/>
  <c r="S29" i="6"/>
  <c r="AA29" i="6"/>
  <c r="AI29" i="6"/>
  <c r="H31" i="6"/>
  <c r="P31" i="6"/>
  <c r="X31" i="6"/>
  <c r="AF31" i="6"/>
  <c r="O15" i="6"/>
  <c r="K7" i="6"/>
  <c r="Y15" i="6"/>
  <c r="B31" i="6"/>
  <c r="AD7" i="6"/>
  <c r="V7" i="6"/>
  <c r="N7" i="6"/>
  <c r="AG9" i="6"/>
  <c r="Y9" i="6"/>
  <c r="Q9" i="6"/>
  <c r="AJ11" i="6"/>
  <c r="AB11" i="6"/>
  <c r="T11" i="6"/>
  <c r="L11" i="6"/>
  <c r="I13" i="6"/>
  <c r="Q13" i="6"/>
  <c r="Y13" i="6"/>
  <c r="AG13" i="6"/>
  <c r="F15" i="6"/>
  <c r="N15" i="6"/>
  <c r="V15" i="6"/>
  <c r="C17" i="6"/>
  <c r="K17" i="6"/>
  <c r="S17" i="6"/>
  <c r="AA17" i="6"/>
  <c r="H19" i="6"/>
  <c r="P19" i="6"/>
  <c r="X19" i="6"/>
  <c r="E21" i="6"/>
  <c r="M21" i="6"/>
  <c r="U21" i="6"/>
  <c r="AC21" i="6"/>
  <c r="AK21" i="6"/>
  <c r="J25" i="6"/>
  <c r="R25" i="6"/>
  <c r="Z25" i="6"/>
  <c r="G27" i="6"/>
  <c r="O27" i="6"/>
  <c r="W27" i="6"/>
  <c r="D29" i="6"/>
  <c r="L29" i="6"/>
  <c r="T29" i="6"/>
  <c r="AB29" i="6"/>
  <c r="I31" i="6"/>
  <c r="Q31" i="6"/>
  <c r="Y31" i="6"/>
  <c r="B7" i="6"/>
  <c r="B25" i="6"/>
  <c r="B19" i="6"/>
  <c r="B9" i="6"/>
  <c r="B17" i="6"/>
  <c r="B27" i="6"/>
  <c r="B11" i="6"/>
  <c r="B29" i="6"/>
  <c r="B15" i="6"/>
  <c r="C5" i="6"/>
  <c r="K5" i="6"/>
  <c r="S5" i="6"/>
  <c r="AA5" i="6"/>
  <c r="AI5" i="6"/>
  <c r="Z5" i="6"/>
  <c r="Z32" i="6" s="1"/>
  <c r="D5" i="6"/>
  <c r="L5" i="6"/>
  <c r="T5" i="6"/>
  <c r="AB5" i="6"/>
  <c r="I5" i="6"/>
  <c r="AG5" i="6"/>
  <c r="AH5" i="6"/>
  <c r="AH32" i="6" s="1"/>
  <c r="E5" i="6"/>
  <c r="M5" i="6"/>
  <c r="U5" i="6"/>
  <c r="AC5" i="6"/>
  <c r="AK5" i="6"/>
  <c r="AK32" i="6" s="1"/>
  <c r="Y5" i="6"/>
  <c r="R5" i="6"/>
  <c r="R32" i="6" s="1"/>
  <c r="F5" i="6"/>
  <c r="N5" i="6"/>
  <c r="V5" i="6"/>
  <c r="V32" i="6" s="1"/>
  <c r="AD5" i="6"/>
  <c r="Q5" i="6"/>
  <c r="J5" i="6"/>
  <c r="G5" i="6"/>
  <c r="G32" i="6" s="1"/>
  <c r="O5" i="6"/>
  <c r="W5" i="6"/>
  <c r="AE5" i="6"/>
  <c r="H5" i="6"/>
  <c r="P5" i="6"/>
  <c r="X5" i="6"/>
  <c r="B12" i="12" l="1"/>
  <c r="B11" i="12"/>
  <c r="B15" i="12"/>
  <c r="G15" i="12" s="1"/>
  <c r="D16" i="12"/>
  <c r="E16" i="12"/>
  <c r="B13" i="12"/>
  <c r="G13" i="12" s="1"/>
  <c r="F16" i="12"/>
  <c r="B14" i="12"/>
  <c r="G14" i="12" s="1"/>
  <c r="C15" i="12"/>
  <c r="C12" i="12"/>
  <c r="C11" i="12"/>
  <c r="C16" i="12" s="1"/>
  <c r="J32" i="6"/>
  <c r="I32" i="6"/>
  <c r="X32" i="6"/>
  <c r="P32" i="6"/>
  <c r="L32" i="6"/>
  <c r="H32" i="6"/>
  <c r="D32" i="6"/>
  <c r="W32" i="6"/>
  <c r="AC32" i="6"/>
  <c r="B32" i="6"/>
  <c r="F32" i="6"/>
  <c r="T32" i="6"/>
  <c r="AE32" i="6"/>
  <c r="AB32" i="6"/>
  <c r="O32" i="6"/>
  <c r="U32" i="6"/>
  <c r="AI32" i="6"/>
  <c r="M32" i="6"/>
  <c r="AA32" i="6"/>
  <c r="E32" i="6"/>
  <c r="S32" i="6"/>
  <c r="N32" i="6"/>
  <c r="Q32" i="6"/>
  <c r="K32" i="6"/>
  <c r="Y32" i="6"/>
  <c r="AD32" i="6"/>
  <c r="AG32" i="6"/>
  <c r="C32" i="6"/>
  <c r="H23" i="12" l="1"/>
  <c r="F23" i="12"/>
  <c r="F22" i="12"/>
  <c r="F21" i="12"/>
  <c r="F20" i="12"/>
  <c r="F19" i="12"/>
  <c r="H22" i="12"/>
  <c r="E22" i="12"/>
  <c r="E21" i="12"/>
  <c r="E20" i="12"/>
  <c r="E19" i="12"/>
  <c r="E23" i="12"/>
  <c r="B16" i="12"/>
  <c r="G11" i="12"/>
  <c r="D19" i="12"/>
  <c r="H21" i="12"/>
  <c r="D23" i="12"/>
  <c r="D22" i="12"/>
  <c r="D21" i="12"/>
  <c r="D20" i="12"/>
  <c r="G12" i="12"/>
  <c r="H20" i="12" l="1"/>
  <c r="C20" i="12"/>
  <c r="C19" i="12"/>
  <c r="C23" i="12"/>
  <c r="C21" i="12"/>
  <c r="C22" i="12"/>
  <c r="B22" i="12"/>
  <c r="G22" i="12" s="1"/>
  <c r="I22" i="12" s="1"/>
  <c r="G16" i="12"/>
  <c r="B19" i="12"/>
  <c r="G19" i="12" s="1"/>
  <c r="I19" i="12" s="1"/>
  <c r="H11" i="12" a="1"/>
  <c r="H11" i="12" s="1"/>
  <c r="H19" i="12"/>
  <c r="B21" i="12"/>
  <c r="G21" i="12" s="1"/>
  <c r="I21" i="12" s="1"/>
  <c r="B20" i="12"/>
  <c r="G20" i="12" s="1"/>
  <c r="B23" i="12"/>
  <c r="G23" i="12" s="1"/>
  <c r="I23" i="12" s="1"/>
  <c r="I20" i="12" l="1"/>
  <c r="I24" i="12" s="1"/>
  <c r="J19" i="12" s="1"/>
  <c r="K19" i="12" s="1"/>
  <c r="D28" i="11" l="1"/>
  <c r="D30" i="11"/>
  <c r="D21" i="11"/>
  <c r="D13" i="11"/>
  <c r="D6" i="11"/>
  <c r="D12" i="11"/>
  <c r="D22" i="11"/>
  <c r="D34" i="11"/>
  <c r="D9" i="11"/>
  <c r="D37" i="11"/>
  <c r="D2" i="11"/>
  <c r="D8" i="11"/>
  <c r="D35" i="11"/>
  <c r="D25" i="11"/>
  <c r="D16" i="11"/>
  <c r="D32" i="11"/>
  <c r="D7" i="11"/>
  <c r="D3" i="11"/>
  <c r="D5" i="11"/>
  <c r="D11" i="11"/>
  <c r="D29" i="11"/>
  <c r="D18" i="11"/>
  <c r="D17" i="11"/>
  <c r="D4" i="11"/>
  <c r="D36" i="11"/>
  <c r="D15" i="11"/>
  <c r="D20" i="11"/>
  <c r="D23" i="11"/>
  <c r="D31" i="11"/>
  <c r="D10" i="11"/>
  <c r="D24" i="11"/>
  <c r="D14" i="11"/>
  <c r="D33" i="11"/>
  <c r="D26" i="11"/>
  <c r="D19" i="11"/>
  <c r="D27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<sst xmlns="http://schemas.openxmlformats.org/spreadsheetml/2006/main" count="552" uniqueCount="134">
  <si>
    <t>Sr No</t>
  </si>
  <si>
    <t>States</t>
  </si>
  <si>
    <t>Andhra Pradesh</t>
  </si>
  <si>
    <t>No AI specific policy</t>
  </si>
  <si>
    <t>Arunachal Pradesh</t>
  </si>
  <si>
    <t>Assam</t>
  </si>
  <si>
    <t>Bihar</t>
  </si>
  <si>
    <t>Chhattisgarh</t>
  </si>
  <si>
    <t>Goa</t>
  </si>
  <si>
    <t>Gujarat</t>
  </si>
  <si>
    <t>Action Plan for Implementation of Artificial Intelligence (AI) 2025-2030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</si>
  <si>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</si>
  <si>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</si>
  <si>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</si>
  <si>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</si>
  <si>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</si>
  <si>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</si>
  <si>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</si>
  <si>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MahaAgri-AI Policy 2025–2029</t>
  </si>
  <si>
    <t>Manipur</t>
  </si>
  <si>
    <t>Meghalaya</t>
  </si>
  <si>
    <t>Mizoram</t>
  </si>
  <si>
    <t>Nagaland</t>
  </si>
  <si>
    <t>Odisha</t>
  </si>
  <si>
    <t>Odisha Artificial Intelligence Policy-2025</t>
  </si>
  <si>
    <t>Punjab</t>
  </si>
  <si>
    <t>Rajasthan</t>
  </si>
  <si>
    <t>Sikkim</t>
  </si>
  <si>
    <t>Tamil Nadu</t>
  </si>
  <si>
    <t>Tamil Nadu Safe and Ethical Artificial Intelligence Policy 2020</t>
  </si>
  <si>
    <t>Telangana</t>
  </si>
  <si>
    <t>Government of Telangana Artificial Intelligence Framework 2020</t>
  </si>
  <si>
    <t>Tripura</t>
  </si>
  <si>
    <t>Uttar Pradesh</t>
  </si>
  <si>
    <t>Uttarakhand</t>
  </si>
  <si>
    <t>West Bengal</t>
  </si>
  <si>
    <t>Andaman and Nicobar Islands</t>
  </si>
  <si>
    <t>Chandigarh</t>
  </si>
  <si>
    <t>Dadra and Nagar Haveli and Daman and Diu</t>
  </si>
  <si>
    <t>Delhi (National Capital Territory of Delhi)</t>
  </si>
  <si>
    <t>Jammu and Kashmir</t>
  </si>
  <si>
    <t>Ladakh</t>
  </si>
  <si>
    <t>Lakshadweep</t>
  </si>
  <si>
    <t>Puducherry</t>
  </si>
  <si>
    <t>Region Type</t>
  </si>
  <si>
    <t>State</t>
  </si>
  <si>
    <t>UT</t>
  </si>
  <si>
    <t>Digital Infrastructure_Internet Penetration (tele-density %)</t>
  </si>
  <si>
    <t>Digital Infrastructure_Mobile Subscribers (million)</t>
  </si>
  <si>
    <t>Digital Infrastructure_Broadband subscribers(million)</t>
  </si>
  <si>
    <t>Human Capital/ Soft Skills_Specialization-wise number of colleges (Engineering &amp; Technology)</t>
  </si>
  <si>
    <t xml:space="preserve">Human Capital/ Soft Skills_Universities offering IT Specialization </t>
  </si>
  <si>
    <t>Human Capital/ Soft Skills_Digital Literacy</t>
  </si>
  <si>
    <t>Research and Innovation Ecosystem_Startups in AI</t>
  </si>
  <si>
    <t>Research and Innovation Ecosystem_Research Papers</t>
  </si>
  <si>
    <t>Research and Innovation Ecosystem_Innovation Hubs</t>
  </si>
  <si>
    <t>Policy &amp; Governance_State AI policies</t>
  </si>
  <si>
    <t>Policy &amp; Governance_e services on single unified portal</t>
  </si>
  <si>
    <t>Data Ecosystem_Open data portals</t>
  </si>
  <si>
    <t>Data Ecosystem_e-governance projects</t>
  </si>
  <si>
    <t>Data Ecosystem_SeMT Capacity Utilization (%)</t>
  </si>
  <si>
    <t>Normalized</t>
  </si>
  <si>
    <t>Binary (0 - No AI specific policy; 1 - Action Plan for Implementation)</t>
  </si>
  <si>
    <t>Maximum</t>
  </si>
  <si>
    <t>Minimum</t>
  </si>
  <si>
    <t>Sum (Normalized + Binary)</t>
  </si>
  <si>
    <t>Internet Penetration (tele-density %)</t>
  </si>
  <si>
    <t>Mobile Subscribers (million)</t>
  </si>
  <si>
    <t>Broadband subscribers(million)</t>
  </si>
  <si>
    <t>Specialization-wise number of colleges (Engineering &amp; Technology)</t>
  </si>
  <si>
    <t xml:space="preserve">Universities offering IT Specialization </t>
  </si>
  <si>
    <t>Digital Literacy</t>
  </si>
  <si>
    <t>Startups in AI</t>
  </si>
  <si>
    <t>Research Papers</t>
  </si>
  <si>
    <t>Innovation Hubs</t>
  </si>
  <si>
    <t>State AI policies</t>
  </si>
  <si>
    <t>e services on single unified portal</t>
  </si>
  <si>
    <t>Open data portals</t>
  </si>
  <si>
    <t>e-governance projects</t>
  </si>
  <si>
    <t>SeMT Capacity Utilization (%)</t>
  </si>
  <si>
    <t xml:space="preserve"> Digital Infrastructure</t>
  </si>
  <si>
    <t xml:space="preserve"> Human Capital/ Soft Skills</t>
  </si>
  <si>
    <t xml:space="preserve"> Research and Innovation Ecosystem</t>
  </si>
  <si>
    <t xml:space="preserve"> Policy &amp; Governance</t>
  </si>
  <si>
    <t xml:space="preserve"> Region Type</t>
  </si>
  <si>
    <t xml:space="preserve"> Data Ecosystem</t>
  </si>
  <si>
    <t>Glossary</t>
  </si>
  <si>
    <t>DI</t>
  </si>
  <si>
    <t>HC</t>
  </si>
  <si>
    <t>RI</t>
  </si>
  <si>
    <t>PG</t>
  </si>
  <si>
    <t>DE</t>
  </si>
  <si>
    <t xml:space="preserve">Internet Penetration </t>
  </si>
  <si>
    <t>Mobile Subscribers</t>
  </si>
  <si>
    <t>Broadband subscribers</t>
  </si>
  <si>
    <t xml:space="preserve">Specialization-wise number of colleges </t>
  </si>
  <si>
    <t xml:space="preserve">E services </t>
  </si>
  <si>
    <t>Capacity Utilization</t>
  </si>
  <si>
    <t>Category</t>
  </si>
  <si>
    <t>Sub Category</t>
  </si>
  <si>
    <t>Area</t>
  </si>
  <si>
    <t>Division</t>
  </si>
  <si>
    <t xml:space="preserve">Specialization-wise colleges </t>
  </si>
  <si>
    <t>Universities(IT)</t>
  </si>
  <si>
    <t>Score</t>
  </si>
  <si>
    <t>Region</t>
  </si>
  <si>
    <t>Digital Infrastructure</t>
  </si>
  <si>
    <t>Human Capital</t>
  </si>
  <si>
    <t>Research and Innovation Ecosystem</t>
  </si>
  <si>
    <t>Policy and Governance</t>
  </si>
  <si>
    <t>Data Ecosystem</t>
  </si>
  <si>
    <t>Criteria Weights</t>
  </si>
  <si>
    <t>Weighted Sum Value</t>
  </si>
  <si>
    <t>Lambda=(Weighted sum value/Criteria weights)</t>
  </si>
  <si>
    <t>C.I.</t>
  </si>
  <si>
    <t>CR=C.I/R.I</t>
  </si>
  <si>
    <t>lambda max</t>
  </si>
  <si>
    <t>matrix dimension (n)</t>
  </si>
  <si>
    <t>random index (R.I)</t>
  </si>
  <si>
    <t>Digital Infra</t>
  </si>
  <si>
    <t>Policy and governance</t>
  </si>
  <si>
    <t>Data ecosystem</t>
  </si>
  <si>
    <t>A</t>
  </si>
  <si>
    <t>B</t>
  </si>
  <si>
    <t>Universities offering IT Specialization</t>
  </si>
  <si>
    <t>C</t>
  </si>
  <si>
    <t>D</t>
  </si>
  <si>
    <t xml:space="preserve">E  </t>
  </si>
  <si>
    <t>Weighted sum Value</t>
  </si>
  <si>
    <t>Lambda</t>
  </si>
  <si>
    <t>C.R.</t>
  </si>
  <si>
    <t>Lambda Max</t>
  </si>
  <si>
    <t>Matrix Dimension (n)</t>
  </si>
  <si>
    <t>Random Index (R.I.)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</si>
</sst>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theme="1"/>
      <name val="&quot;Aptos Narrow&quot;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color rgb="FF000000"/>
      <name val="Arial"/>
      <family val="2"/>
      <scheme val="minor"/>
    </font>
    <font>
      <b/>
      <sz val="8"/>
      <color rgb="FF000000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4" fillId="0" borderId="0" xfId="0" applyFont="1" applyAlignment="1">
      <alignment horizontal="right"/>
    </xf>
    <xf numFmtId="0" fontId="2" fillId="2" borderId="1" xfId="0" applyFont="1" applyFill="1" applyBorder="1"/>
    <xf numFmtId="0" fontId="2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/>
    <xf numFmtId="2" fontId="1" fillId="5" borderId="1" xfId="0" applyNumberFormat="1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6" fillId="5" borderId="1" xfId="0" applyFont="1" applyFill="1" applyBorder="1"/>
    <xf numFmtId="0" fontId="6" fillId="4" borderId="1" xfId="0" applyFont="1" applyFill="1" applyBorder="1"/>
    <xf numFmtId="0" fontId="7" fillId="0" borderId="0" xfId="0" applyFont="1"/>
    <xf numFmtId="0" fontId="2" fillId="2" borderId="2" xfId="0" applyFont="1" applyFill="1" applyBorder="1"/>
    <xf numFmtId="0" fontId="8" fillId="0" borderId="0" xfId="0" applyFont="1"/>
    <xf numFmtId="0" fontId="2" fillId="2" borderId="0" xfId="0" applyFont="1" applyFill="1"/>
    <xf numFmtId="2" fontId="5" fillId="5" borderId="1" xfId="0" applyNumberFormat="1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2" fontId="3" fillId="4" borderId="1" xfId="0" applyNumberFormat="1" applyFont="1" applyFill="1" applyBorder="1" applyAlignment="1">
      <alignment horizontal="center"/>
    </xf>
    <xf numFmtId="2" fontId="1" fillId="5" borderId="1" xfId="0" applyNumberFormat="1" applyFont="1" applyFill="1" applyBorder="1"/>
    <xf numFmtId="2" fontId="1" fillId="4" borderId="1" xfId="0" applyNumberFormat="1" applyFont="1" applyFill="1" applyBorder="1"/>
    <xf numFmtId="2" fontId="0" fillId="0" borderId="0" xfId="0" applyNumberFormat="1"/>
    <xf numFmtId="0" fontId="2" fillId="6" borderId="1" xfId="0" applyFont="1" applyFill="1" applyBorder="1"/>
    <xf numFmtId="0" fontId="9" fillId="0" borderId="0" xfId="0" applyFont="1"/>
    <xf numFmtId="0" fontId="10" fillId="0" borderId="1" xfId="0" applyFont="1" applyBorder="1"/>
    <xf numFmtId="0" fontId="9" fillId="0" borderId="1" xfId="0" applyFont="1" applyBorder="1"/>
    <xf numFmtId="164" fontId="9" fillId="0" borderId="1" xfId="0" applyNumberFormat="1" applyFont="1" applyBorder="1"/>
    <xf numFmtId="0" fontId="10" fillId="0" borderId="0" xfId="0" applyFont="1"/>
    <xf numFmtId="0" fontId="0" fillId="7" borderId="0" xfId="0" applyFill="1"/>
    <xf numFmtId="0" fontId="10" fillId="7" borderId="1" xfId="0" applyFont="1" applyFill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164" fontId="9" fillId="0" borderId="1" xfId="0" applyNumberFormat="1" applyFont="1" applyBorder="1" applyAlignment="1">
      <alignment horizontal="left" vertical="top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0" fillId="7" borderId="1" xfId="0" applyFill="1" applyBorder="1"/>
    <xf numFmtId="0" fontId="0" fillId="0" borderId="1" xfId="0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/>
    <xf numFmtId="0" fontId="0" fillId="7" borderId="2" xfId="0" applyFill="1" applyBorder="1"/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0" fillId="12" borderId="0" xfId="0" applyFill="1" applyAlignment="1">
      <alignment horizontal="center" vertical="top" wrapText="1"/>
    </xf>
    <xf numFmtId="0" fontId="0" fillId="5" borderId="0" xfId="0" applyFill="1" applyAlignment="1">
      <alignment horizontal="center" vertical="top" wrapText="1"/>
    </xf>
    <xf numFmtId="0" fontId="0" fillId="5" borderId="0" xfId="0" applyFill="1" applyAlignment="1">
      <alignment horizontal="center" vertical="top"/>
    </xf>
    <xf numFmtId="0" fontId="11" fillId="12" borderId="3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1" fillId="12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2" fillId="13" borderId="1" xfId="0" applyFont="1" applyFill="1" applyBorder="1" applyAlignment="1">
      <alignment horizontal="center" vertical="top" wrapText="1"/>
    </xf>
    <xf numFmtId="0" fontId="12" fillId="14" borderId="1" xfId="0" applyFont="1" applyFill="1" applyBorder="1" applyAlignment="1">
      <alignment horizontal="center" vertical="top" wrapText="1"/>
    </xf>
    <xf numFmtId="0" fontId="0" fillId="12" borderId="0" xfId="0" applyFill="1" applyAlignment="1">
      <alignment horizontal="center" vertical="top"/>
    </xf>
    <xf numFmtId="0" fontId="0" fillId="0" borderId="0" xfId="0" applyAlignment="1">
      <alignment horizontal="center" vertical="top"/>
    </xf>
    <xf numFmtId="0" fontId="12" fillId="15" borderId="1" xfId="0" applyFont="1" applyFill="1" applyBorder="1" applyAlignment="1">
      <alignment horizontal="center" vertical="top" wrapText="1"/>
    </xf>
    <xf numFmtId="0" fontId="12" fillId="16" borderId="1" xfId="0" applyFont="1" applyFill="1" applyBorder="1" applyAlignment="1">
      <alignment horizontal="center" vertical="top" wrapText="1"/>
    </xf>
    <xf numFmtId="0" fontId="12" fillId="17" borderId="1" xfId="0" applyFont="1" applyFill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4" fillId="11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3">
    <dxf>
      <numFmt numFmtId="164" formatCode="0.00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847A76-D6BF-434B-A1F0-8BC108C73932}" name="Table1" displayName="Table1" ref="B1:D37" totalsRowShown="0" headerRowDxfId="2">
  <autoFilter ref="B1:D37" xr:uid="{89847A76-D6BF-434B-A1F0-8BC108C73932}"/>
  <sortState xmlns:xlrd2="http://schemas.microsoft.com/office/spreadsheetml/2017/richdata2" ref="C2:D37">
    <sortCondition descending="1" ref="D1:D37"/>
  </sortState>
  <tableColumns count="3">
    <tableColumn id="3" xr3:uid="{EDF91913-A5A7-42A8-B71F-045D5BC1FAAE}" name="Sr No" dataDxfId="1"/>
    <tableColumn id="1" xr3:uid="{F471AB42-DE06-4F71-B711-BE0BE0F7EB8D}" name="Region"/>
    <tableColumn id="2" xr3:uid="{127366AD-7A1C-4920-8B1B-36DFF8D2A836}" name="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4AAF4-C9F8-406A-896E-6863352EA9E9}">
  <dimension ref="A2:K26"/>
  <sheetViews>
    <sheetView workbookViewId="0">
      <selection activeCell="B31" sqref="B31"/>
    </sheetView>
  </sheetViews>
  <sheetFormatPr defaultRowHeight="12.75"/>
  <cols>
    <col min="1" max="1" width="30.7109375" bestFit="1" customWidth="1"/>
    <col min="2" max="2" width="18" bestFit="1" customWidth="1"/>
    <col min="3" max="3" width="12.85546875" bestFit="1" customWidth="1"/>
    <col min="4" max="4" width="30.7109375" bestFit="1" customWidth="1"/>
    <col min="5" max="5" width="19.7109375" bestFit="1" customWidth="1"/>
    <col min="6" max="6" width="14.140625" bestFit="1" customWidth="1"/>
    <col min="7" max="7" width="18.5703125" customWidth="1"/>
    <col min="8" max="8" width="20.85546875" customWidth="1"/>
    <col min="9" max="9" width="40.140625" bestFit="1" customWidth="1"/>
    <col min="11" max="11" width="12" bestFit="1" customWidth="1"/>
  </cols>
  <sheetData>
    <row r="2" spans="1:8">
      <c r="A2" s="39"/>
      <c r="B2" s="40" t="s">
        <v>106</v>
      </c>
      <c r="C2" s="40" t="s">
        <v>107</v>
      </c>
      <c r="D2" s="40" t="s">
        <v>108</v>
      </c>
      <c r="E2" s="40" t="s">
        <v>109</v>
      </c>
      <c r="F2" s="40" t="s">
        <v>110</v>
      </c>
    </row>
    <row r="3" spans="1:8">
      <c r="A3" s="40" t="s">
        <v>106</v>
      </c>
      <c r="B3" s="41">
        <v>1</v>
      </c>
      <c r="C3" s="42">
        <v>0.86395952546871002</v>
      </c>
      <c r="D3" s="42">
        <v>1.6169736378712949</v>
      </c>
      <c r="E3" s="42">
        <v>6.5275796855802852</v>
      </c>
      <c r="F3" s="42">
        <v>3.3704635254242956</v>
      </c>
    </row>
    <row r="4" spans="1:8">
      <c r="A4" s="40" t="s">
        <v>107</v>
      </c>
      <c r="B4" s="41">
        <f>1/C3</f>
        <v>1.1574616293020048</v>
      </c>
      <c r="C4" s="41">
        <v>1</v>
      </c>
      <c r="D4" s="42">
        <v>1.865887866681724</v>
      </c>
      <c r="E4" s="42">
        <v>7.582585928691894</v>
      </c>
      <c r="F4" s="42">
        <v>3.8824062111124964</v>
      </c>
    </row>
    <row r="5" spans="1:8">
      <c r="A5" s="40" t="s">
        <v>108</v>
      </c>
      <c r="B5" s="41">
        <f>1/D3</f>
        <v>0.61843927234118357</v>
      </c>
      <c r="C5" s="41">
        <f>1/D4</f>
        <v>0.53593788665252962</v>
      </c>
      <c r="D5" s="41">
        <v>1</v>
      </c>
      <c r="E5" s="42">
        <v>4.0758044185541253</v>
      </c>
      <c r="F5" s="42">
        <v>2.0706339981185744</v>
      </c>
    </row>
    <row r="6" spans="1:8">
      <c r="A6" s="40" t="s">
        <v>109</v>
      </c>
      <c r="B6" s="41">
        <f>1/E3</f>
        <v>0.15319613825765233</v>
      </c>
      <c r="C6" s="41">
        <f>1/E4</f>
        <v>0.13188112992113687</v>
      </c>
      <c r="D6" s="41">
        <f>1/E5</f>
        <v>0.24535034003293657</v>
      </c>
      <c r="E6" s="41">
        <v>1</v>
      </c>
      <c r="F6" s="42">
        <v>0.51308339000360292</v>
      </c>
    </row>
    <row r="7" spans="1:8">
      <c r="A7" s="40" t="s">
        <v>110</v>
      </c>
      <c r="B7" s="41">
        <f>1/F3</f>
        <v>0.29669509622541118</v>
      </c>
      <c r="C7" s="41">
        <f>1/F4</f>
        <v>0.25757222341591396</v>
      </c>
      <c r="D7" s="41">
        <f>1/F5</f>
        <v>0.48294387173620396</v>
      </c>
      <c r="E7" s="41">
        <f>1/F6</f>
        <v>1.9490009216493598</v>
      </c>
      <c r="F7" s="41">
        <v>1</v>
      </c>
    </row>
    <row r="8" spans="1:8">
      <c r="B8" s="38">
        <f>SUM(B3:B7)</f>
        <v>3.2257921361262523</v>
      </c>
      <c r="C8" s="38">
        <f t="shared" ref="C8:F8" si="0">SUM(C3:C7)</f>
        <v>2.7893507654582903</v>
      </c>
      <c r="D8" s="38">
        <f t="shared" si="0"/>
        <v>5.2111557163221587</v>
      </c>
      <c r="E8" s="38">
        <f t="shared" si="0"/>
        <v>21.134970954475666</v>
      </c>
      <c r="F8" s="38">
        <f t="shared" si="0"/>
        <v>10.836587124658969</v>
      </c>
    </row>
    <row r="10" spans="1:8">
      <c r="A10" s="39"/>
      <c r="B10" s="40" t="s">
        <v>106</v>
      </c>
      <c r="C10" s="40" t="s">
        <v>107</v>
      </c>
      <c r="D10" s="40" t="s">
        <v>108</v>
      </c>
      <c r="E10" s="40" t="s">
        <v>109</v>
      </c>
      <c r="F10" s="40" t="s">
        <v>110</v>
      </c>
      <c r="G10" s="43" t="s">
        <v>111</v>
      </c>
      <c r="H10" s="44" t="s">
        <v>112</v>
      </c>
    </row>
    <row r="11" spans="1:8">
      <c r="A11" s="40" t="s">
        <v>106</v>
      </c>
      <c r="B11" s="45">
        <f>B3/$B$8</f>
        <v>0.31000137572437236</v>
      </c>
      <c r="C11" s="45">
        <f>C3/$C$8</f>
        <v>0.30973498785720538</v>
      </c>
      <c r="D11" s="45">
        <f>D3/$D$8</f>
        <v>0.31029079265597059</v>
      </c>
      <c r="E11" s="45">
        <f>E3/$E$8</f>
        <v>0.30885207742374338</v>
      </c>
      <c r="F11" s="45">
        <f>F3/$F$8</f>
        <v>0.31102629330176362</v>
      </c>
      <c r="G11" s="39">
        <f>AVERAGE(B11:F11)</f>
        <v>0.30998110539261103</v>
      </c>
      <c r="H11" cm="1">
        <f t="array" ref="H11:H15">MMULT(B3:F7,G11:G15)</f>
        <v>1.5499105528404067</v>
      </c>
    </row>
    <row r="12" spans="1:8">
      <c r="A12" s="40" t="s">
        <v>107</v>
      </c>
      <c r="B12" s="45">
        <f t="shared" ref="B12:B15" si="1">B4/$B$8</f>
        <v>0.358814697431795</v>
      </c>
      <c r="C12" s="45">
        <f t="shared" ref="C12:C15" si="2">C4/$C$8</f>
        <v>0.35850636369703759</v>
      </c>
      <c r="D12" s="45">
        <f t="shared" ref="D12:D15" si="3">D4/$D$8</f>
        <v>0.35805644050080293</v>
      </c>
      <c r="E12" s="45">
        <f t="shared" ref="E12:E15" si="4">E4/$E$8</f>
        <v>0.35876964037587955</v>
      </c>
      <c r="F12" s="45">
        <f t="shared" ref="F12:F15" si="5">F4/$F$8</f>
        <v>0.35826835206058261</v>
      </c>
      <c r="G12" s="39">
        <f t="shared" ref="G12:G15" si="6">AVERAGE(B12:F12)</f>
        <v>0.35848309881321949</v>
      </c>
      <c r="H12">
        <v>1.7924204317367063</v>
      </c>
    </row>
    <row r="13" spans="1:8">
      <c r="A13" s="40" t="s">
        <v>108</v>
      </c>
      <c r="B13" s="45">
        <f t="shared" si="1"/>
        <v>0.1917170252277467</v>
      </c>
      <c r="C13" s="45">
        <f t="shared" si="2"/>
        <v>0.19213714291127348</v>
      </c>
      <c r="D13" s="45">
        <f t="shared" si="3"/>
        <v>0.19189601202432752</v>
      </c>
      <c r="E13" s="45">
        <f t="shared" si="4"/>
        <v>0.19284646415333773</v>
      </c>
      <c r="F13" s="45">
        <f t="shared" si="5"/>
        <v>0.19107805569216404</v>
      </c>
      <c r="G13" s="39">
        <f t="shared" si="6"/>
        <v>0.19193494000176989</v>
      </c>
      <c r="H13">
        <v>0.95967706176390311</v>
      </c>
    </row>
    <row r="14" spans="1:8">
      <c r="A14" s="40" t="s">
        <v>109</v>
      </c>
      <c r="B14" s="45">
        <f t="shared" si="1"/>
        <v>4.7491013615533373E-2</v>
      </c>
      <c r="C14" s="45">
        <f t="shared" si="2"/>
        <v>4.7280224328283361E-2</v>
      </c>
      <c r="D14" s="45">
        <f t="shared" si="3"/>
        <v>4.7081751801133241E-2</v>
      </c>
      <c r="E14" s="45">
        <f t="shared" si="4"/>
        <v>4.7314945554170922E-2</v>
      </c>
      <c r="F14" s="45">
        <f t="shared" si="5"/>
        <v>4.7347322925690022E-2</v>
      </c>
      <c r="G14" s="39">
        <f t="shared" si="6"/>
        <v>4.7303051644962187E-2</v>
      </c>
      <c r="H14">
        <v>0.23651588908855775</v>
      </c>
    </row>
    <row r="15" spans="1:8">
      <c r="A15" s="40" t="s">
        <v>110</v>
      </c>
      <c r="B15" s="45">
        <f t="shared" si="1"/>
        <v>9.1975888000552494E-2</v>
      </c>
      <c r="C15" s="45">
        <f t="shared" si="2"/>
        <v>9.2341281206200276E-2</v>
      </c>
      <c r="D15" s="45">
        <f t="shared" si="3"/>
        <v>9.2675003017765878E-2</v>
      </c>
      <c r="E15" s="45">
        <f t="shared" si="4"/>
        <v>9.2216872492868404E-2</v>
      </c>
      <c r="F15" s="45">
        <f t="shared" si="5"/>
        <v>9.2279976019799717E-2</v>
      </c>
      <c r="G15" s="39">
        <f t="shared" si="6"/>
        <v>9.2297804147437351E-2</v>
      </c>
      <c r="H15">
        <v>0.46149046115707448</v>
      </c>
    </row>
    <row r="16" spans="1:8">
      <c r="B16" s="46">
        <f>SUM(B11:B15)</f>
        <v>0.99999999999999989</v>
      </c>
      <c r="C16" s="46">
        <f t="shared" ref="C16:G16" si="7">SUM(C11:C15)</f>
        <v>1</v>
      </c>
      <c r="D16" s="46">
        <f t="shared" si="7"/>
        <v>1</v>
      </c>
      <c r="E16" s="46">
        <f t="shared" si="7"/>
        <v>0.99999999999999989</v>
      </c>
      <c r="F16" s="46">
        <f t="shared" si="7"/>
        <v>1</v>
      </c>
      <c r="G16" s="46">
        <f t="shared" si="7"/>
        <v>1</v>
      </c>
    </row>
    <row r="18" spans="1:11">
      <c r="A18" s="39"/>
      <c r="B18" s="40" t="s">
        <v>106</v>
      </c>
      <c r="C18" s="40" t="s">
        <v>107</v>
      </c>
      <c r="D18" s="40" t="s">
        <v>108</v>
      </c>
      <c r="E18" s="40" t="s">
        <v>109</v>
      </c>
      <c r="F18" s="40" t="s">
        <v>110</v>
      </c>
      <c r="G18" s="47" t="s">
        <v>112</v>
      </c>
      <c r="H18" s="47" t="s">
        <v>111</v>
      </c>
      <c r="I18" s="47" t="s">
        <v>113</v>
      </c>
      <c r="J18" s="47" t="s">
        <v>114</v>
      </c>
      <c r="K18" s="47" t="s">
        <v>115</v>
      </c>
    </row>
    <row r="19" spans="1:11">
      <c r="A19" s="40" t="s">
        <v>106</v>
      </c>
      <c r="B19" s="41">
        <f>B3*$G$11</f>
        <v>0.30998110539261103</v>
      </c>
      <c r="C19" s="41">
        <f>C3*$G$12</f>
        <v>0.30971488793922181</v>
      </c>
      <c r="D19" s="41">
        <f>D3*$G$13</f>
        <v>0.31035373816927059</v>
      </c>
      <c r="E19" s="41">
        <f>E3*$G$14</f>
        <v>0.30877443898361029</v>
      </c>
      <c r="F19" s="41">
        <f>F3*$G$15</f>
        <v>0.31108638235569286</v>
      </c>
      <c r="G19" s="41">
        <f>SUM(B19:F19)</f>
        <v>1.5499105528404067</v>
      </c>
      <c r="H19" s="41">
        <f>G11</f>
        <v>0.30998110539261103</v>
      </c>
      <c r="I19" s="41">
        <f>G19/H19</f>
        <v>5.0000162134958037</v>
      </c>
      <c r="J19" s="66">
        <f>(I24-I25)/(I25-1)</f>
        <v>4.0533739509296396E-6</v>
      </c>
      <c r="K19" s="66">
        <f>J19/I26</f>
        <v>3.5870565937430443E-6</v>
      </c>
    </row>
    <row r="20" spans="1:11">
      <c r="A20" s="40" t="s">
        <v>107</v>
      </c>
      <c r="B20" s="41">
        <f t="shared" ref="B20:B22" si="8">B4*$G$11</f>
        <v>0.35879123530056806</v>
      </c>
      <c r="C20" s="41">
        <f t="shared" ref="C20:C22" si="9">C4*$G$12</f>
        <v>0.35848309881321949</v>
      </c>
      <c r="D20" s="41">
        <f t="shared" ref="D20:D23" si="10">D4*$G$13</f>
        <v>0.35812907574158709</v>
      </c>
      <c r="E20" s="41">
        <f t="shared" ref="E20:E23" si="11">E4*$G$14</f>
        <v>0.35867945378727623</v>
      </c>
      <c r="F20" s="41">
        <f t="shared" ref="F20:F22" si="12">F4*$G$15</f>
        <v>0.35833756809405548</v>
      </c>
      <c r="G20" s="41">
        <f t="shared" ref="G20:G23" si="13">SUM(B20:F20)</f>
        <v>1.7924204317367063</v>
      </c>
      <c r="H20" s="41">
        <f t="shared" ref="H20:H23" si="14">G12</f>
        <v>0.35848309881321949</v>
      </c>
      <c r="I20" s="41">
        <f t="shared" ref="I20:I23" si="15">G20/H20</f>
        <v>5.0000137737891279</v>
      </c>
      <c r="J20" s="66"/>
      <c r="K20" s="66"/>
    </row>
    <row r="21" spans="1:11">
      <c r="A21" s="40" t="s">
        <v>108</v>
      </c>
      <c r="B21" s="41">
        <f t="shared" si="8"/>
        <v>0.1917044892585221</v>
      </c>
      <c r="C21" s="41">
        <f t="shared" si="9"/>
        <v>0.19212467437860681</v>
      </c>
      <c r="D21" s="41">
        <f t="shared" si="10"/>
        <v>0.19193494000176989</v>
      </c>
      <c r="E21" s="41">
        <f t="shared" si="11"/>
        <v>0.19279798690563088</v>
      </c>
      <c r="F21" s="41">
        <f t="shared" si="12"/>
        <v>0.19111497121937335</v>
      </c>
      <c r="G21" s="41">
        <f t="shared" si="13"/>
        <v>0.95967706176390311</v>
      </c>
      <c r="H21" s="41">
        <f t="shared" si="14"/>
        <v>0.19193494000176989</v>
      </c>
      <c r="I21" s="41">
        <f t="shared" si="15"/>
        <v>5.0000123049771634</v>
      </c>
      <c r="J21" s="66"/>
      <c r="K21" s="66"/>
    </row>
    <row r="22" spans="1:11">
      <c r="A22" s="40" t="s">
        <v>109</v>
      </c>
      <c r="B22" s="41">
        <f t="shared" si="8"/>
        <v>4.7487908278986336E-2</v>
      </c>
      <c r="C22" s="41">
        <f t="shared" si="9"/>
        <v>4.7277156129117946E-2</v>
      </c>
      <c r="D22" s="41">
        <f t="shared" si="10"/>
        <v>4.709130279363552E-2</v>
      </c>
      <c r="E22" s="41">
        <f t="shared" si="11"/>
        <v>4.7303051644962187E-2</v>
      </c>
      <c r="F22" s="41">
        <f t="shared" si="12"/>
        <v>4.7356470241855755E-2</v>
      </c>
      <c r="G22" s="41">
        <f t="shared" si="13"/>
        <v>0.23651588908855775</v>
      </c>
      <c r="H22" s="41">
        <f t="shared" si="14"/>
        <v>4.7303051644962187E-2</v>
      </c>
      <c r="I22" s="41">
        <f t="shared" si="15"/>
        <v>5.000013336639495</v>
      </c>
      <c r="J22" s="66"/>
      <c r="K22" s="66"/>
    </row>
    <row r="23" spans="1:11">
      <c r="A23" s="40" t="s">
        <v>110</v>
      </c>
      <c r="B23" s="41">
        <f>B7*$G$11</f>
        <v>9.1969873892520052E-2</v>
      </c>
      <c r="C23" s="41">
        <f>C7*$G$12</f>
        <v>9.2335288818347724E-2</v>
      </c>
      <c r="D23" s="41">
        <f t="shared" si="10"/>
        <v>9.2693803045910753E-2</v>
      </c>
      <c r="E23" s="41">
        <f t="shared" si="11"/>
        <v>9.2193691252858562E-2</v>
      </c>
      <c r="F23" s="41">
        <f>F7*$G$15</f>
        <v>9.2297804147437351E-2</v>
      </c>
      <c r="G23" s="41">
        <f t="shared" si="13"/>
        <v>0.46149046115707448</v>
      </c>
      <c r="H23" s="41">
        <f t="shared" si="14"/>
        <v>9.2297804147437351E-2</v>
      </c>
      <c r="I23" s="41">
        <f t="shared" si="15"/>
        <v>5.0000156062205487</v>
      </c>
      <c r="J23" s="66"/>
      <c r="K23" s="66"/>
    </row>
    <row r="24" spans="1:11" ht="15">
      <c r="H24" s="48" t="s">
        <v>116</v>
      </c>
      <c r="I24" s="49">
        <f>MAX(I19:I23)</f>
        <v>5.0000162134958037</v>
      </c>
    </row>
    <row r="25" spans="1:11" ht="15">
      <c r="H25" s="48" t="s">
        <v>117</v>
      </c>
      <c r="I25" s="49">
        <v>5</v>
      </c>
    </row>
    <row r="26" spans="1:11" ht="15">
      <c r="H26" s="48" t="s">
        <v>118</v>
      </c>
      <c r="I26" s="49">
        <v>1.1299999999999999</v>
      </c>
    </row>
  </sheetData>
  <mergeCells count="2">
    <mergeCell ref="J19:J23"/>
    <mergeCell ref="K19:K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9F03A-1622-4DE2-A57D-1E700E3DF107}">
  <dimension ref="A1:AY20"/>
  <sheetViews>
    <sheetView tabSelected="1" workbookViewId="0">
      <selection activeCell="A4" sqref="A4"/>
    </sheetView>
  </sheetViews>
  <sheetFormatPr defaultRowHeight="12.75"/>
  <cols>
    <col min="1" max="1" width="22.28515625" style="62" customWidth="1"/>
    <col min="2" max="2" width="23.5703125" style="62" customWidth="1"/>
    <col min="3" max="3" width="17.85546875" style="62" customWidth="1"/>
    <col min="4" max="9" width="21.140625" style="62" customWidth="1"/>
    <col min="10" max="10" width="9.140625" style="61"/>
    <col min="11" max="11" width="27.28515625" style="62" customWidth="1"/>
    <col min="12" max="12" width="37.28515625" style="62" customWidth="1"/>
    <col min="13" max="13" width="18.7109375" style="62" bestFit="1" customWidth="1"/>
    <col min="14" max="15" width="12.42578125" style="62" customWidth="1"/>
    <col min="16" max="16" width="19.7109375" style="62" bestFit="1" customWidth="1"/>
    <col min="17" max="19" width="12.42578125" style="62" customWidth="1"/>
    <col min="20" max="20" width="9.140625" style="61"/>
    <col min="21" max="21" width="9.140625" style="62"/>
    <col min="22" max="22" width="33.28515625" style="62" bestFit="1" customWidth="1"/>
    <col min="23" max="23" width="12.85546875" style="62" customWidth="1"/>
    <col min="24" max="25" width="14.5703125" style="62" customWidth="1"/>
    <col min="26" max="26" width="19.7109375" style="62" bestFit="1" customWidth="1"/>
    <col min="27" max="29" width="14.5703125" style="62" customWidth="1"/>
    <col min="30" max="30" width="9.140625" style="61"/>
    <col min="31" max="31" width="20" style="62" customWidth="1"/>
    <col min="32" max="32" width="21" style="62" bestFit="1" customWidth="1"/>
    <col min="33" max="34" width="13.140625" style="62" customWidth="1"/>
    <col min="35" max="35" width="19.7109375" style="62" bestFit="1" customWidth="1"/>
    <col min="36" max="38" width="13.140625" style="62" customWidth="1"/>
    <col min="39" max="39" width="9.140625" style="61"/>
    <col min="40" max="40" width="18.7109375" style="62" customWidth="1"/>
    <col min="41" max="41" width="15" style="62" bestFit="1" customWidth="1"/>
    <col min="42" max="44" width="11.5703125" style="62" bestFit="1" customWidth="1"/>
    <col min="45" max="45" width="19.7109375" style="62" bestFit="1" customWidth="1"/>
    <col min="46" max="48" width="11.5703125" style="62" customWidth="1"/>
    <col min="49" max="49" width="9.140625" style="61"/>
    <col min="50" max="16384" width="9.140625" style="52"/>
  </cols>
  <sheetData>
    <row r="1" spans="1:51" ht="18">
      <c r="A1" s="71" t="s">
        <v>119</v>
      </c>
      <c r="B1" s="71"/>
      <c r="C1" s="71"/>
      <c r="D1" s="71"/>
      <c r="E1" s="71"/>
      <c r="F1" s="71"/>
      <c r="G1" s="71"/>
      <c r="H1" s="71"/>
      <c r="I1" s="71"/>
      <c r="J1" s="50"/>
      <c r="K1" s="71" t="s">
        <v>107</v>
      </c>
      <c r="L1" s="71"/>
      <c r="M1" s="71"/>
      <c r="N1" s="71"/>
      <c r="O1" s="71"/>
      <c r="P1" s="71"/>
      <c r="Q1" s="71"/>
      <c r="R1" s="71"/>
      <c r="S1" s="71"/>
      <c r="T1" s="50"/>
      <c r="U1" s="71" t="s">
        <v>108</v>
      </c>
      <c r="V1" s="71"/>
      <c r="W1" s="71"/>
      <c r="X1" s="71"/>
      <c r="Y1" s="71"/>
      <c r="Z1" s="71"/>
      <c r="AA1" s="71"/>
      <c r="AB1" s="71"/>
      <c r="AC1" s="71"/>
      <c r="AD1" s="50"/>
      <c r="AE1" s="71" t="s">
        <v>120</v>
      </c>
      <c r="AF1" s="71"/>
      <c r="AG1" s="71"/>
      <c r="AH1" s="71"/>
      <c r="AI1" s="71"/>
      <c r="AJ1" s="71"/>
      <c r="AK1" s="71"/>
      <c r="AL1" s="71"/>
      <c r="AM1" s="50"/>
      <c r="AN1" s="71" t="s">
        <v>121</v>
      </c>
      <c r="AO1" s="71"/>
      <c r="AP1" s="71"/>
      <c r="AQ1" s="71"/>
      <c r="AR1" s="71"/>
      <c r="AS1" s="71"/>
      <c r="AT1" s="71"/>
      <c r="AU1" s="71"/>
      <c r="AV1" s="71"/>
      <c r="AW1" s="50"/>
      <c r="AX1" s="51"/>
      <c r="AY1" s="51"/>
    </row>
    <row r="2" spans="1:51" ht="60">
      <c r="A2" s="53" t="s">
        <v>122</v>
      </c>
      <c r="B2" s="54" t="s">
        <v>66</v>
      </c>
      <c r="C2" s="54" t="s">
        <v>67</v>
      </c>
      <c r="D2" s="54" t="s">
        <v>68</v>
      </c>
      <c r="E2" s="55"/>
      <c r="F2" s="55"/>
      <c r="G2" s="55"/>
      <c r="H2" s="55"/>
      <c r="I2" s="55"/>
      <c r="J2" s="50"/>
      <c r="K2" s="56" t="s">
        <v>123</v>
      </c>
      <c r="L2" s="57" t="s">
        <v>69</v>
      </c>
      <c r="M2" s="57" t="s">
        <v>124</v>
      </c>
      <c r="N2" s="57" t="s">
        <v>71</v>
      </c>
      <c r="O2" s="55"/>
      <c r="P2" s="55"/>
      <c r="Q2" s="55"/>
      <c r="R2" s="55"/>
      <c r="S2" s="55"/>
      <c r="T2" s="50"/>
      <c r="U2" s="56" t="s">
        <v>125</v>
      </c>
      <c r="V2" s="57" t="s">
        <v>72</v>
      </c>
      <c r="W2" s="57" t="s">
        <v>73</v>
      </c>
      <c r="X2" s="57" t="s">
        <v>74</v>
      </c>
      <c r="Y2" s="55"/>
      <c r="Z2" s="55"/>
      <c r="AA2" s="55"/>
      <c r="AB2" s="55"/>
      <c r="AC2" s="55"/>
      <c r="AD2" s="50"/>
      <c r="AE2" s="53" t="s">
        <v>126</v>
      </c>
      <c r="AF2" s="54" t="s">
        <v>75</v>
      </c>
      <c r="AG2" s="54" t="s">
        <v>76</v>
      </c>
      <c r="AH2" s="55"/>
      <c r="AI2" s="55"/>
      <c r="AJ2" s="55"/>
      <c r="AK2" s="55"/>
      <c r="AL2" s="55"/>
      <c r="AM2" s="50"/>
      <c r="AN2" s="56" t="s">
        <v>127</v>
      </c>
      <c r="AO2" s="57" t="s">
        <v>77</v>
      </c>
      <c r="AP2" s="57" t="s">
        <v>78</v>
      </c>
      <c r="AQ2" s="57" t="s">
        <v>79</v>
      </c>
      <c r="AR2" s="55"/>
      <c r="AS2" s="55"/>
      <c r="AT2" s="55"/>
      <c r="AU2" s="55"/>
      <c r="AV2" s="55"/>
      <c r="AW2" s="50"/>
      <c r="AX2" s="51"/>
      <c r="AY2" s="51"/>
    </row>
    <row r="3" spans="1:51" ht="60">
      <c r="A3" s="57" t="s">
        <v>66</v>
      </c>
      <c r="B3" s="58">
        <v>1</v>
      </c>
      <c r="C3" s="58">
        <v>2.3640535555660898</v>
      </c>
      <c r="D3" s="58">
        <v>3.0160585098763404</v>
      </c>
      <c r="E3" s="55"/>
      <c r="F3" s="55"/>
      <c r="G3" s="55"/>
      <c r="H3" s="55"/>
      <c r="I3" s="55"/>
      <c r="J3" s="50"/>
      <c r="K3" s="57" t="s">
        <v>69</v>
      </c>
      <c r="L3" s="58">
        <v>1</v>
      </c>
      <c r="M3" s="58">
        <v>2.4658895139557835</v>
      </c>
      <c r="N3" s="58">
        <v>10.368067559695762</v>
      </c>
      <c r="O3" s="55"/>
      <c r="P3" s="55"/>
      <c r="Q3" s="55"/>
      <c r="R3" s="55"/>
      <c r="S3" s="55"/>
      <c r="T3" s="50"/>
      <c r="U3" s="57" t="s">
        <v>72</v>
      </c>
      <c r="V3" s="58">
        <v>1</v>
      </c>
      <c r="W3" s="58">
        <v>1.830969533279575</v>
      </c>
      <c r="X3" s="58">
        <v>4.6186077169874373</v>
      </c>
      <c r="Y3" s="55"/>
      <c r="Z3" s="55"/>
      <c r="AA3" s="55"/>
      <c r="AB3" s="55"/>
      <c r="AC3" s="55"/>
      <c r="AD3" s="50"/>
      <c r="AE3" s="57" t="s">
        <v>75</v>
      </c>
      <c r="AF3" s="58">
        <v>1</v>
      </c>
      <c r="AG3" s="58">
        <v>2</v>
      </c>
      <c r="AH3" s="55"/>
      <c r="AI3" s="55"/>
      <c r="AJ3" s="55"/>
      <c r="AK3" s="55"/>
      <c r="AL3" s="55"/>
      <c r="AM3" s="50"/>
      <c r="AN3" s="57" t="s">
        <v>77</v>
      </c>
      <c r="AO3" s="58">
        <v>1</v>
      </c>
      <c r="AP3" s="58">
        <v>2.4658895139557835</v>
      </c>
      <c r="AQ3" s="58">
        <v>10.368067559695762</v>
      </c>
      <c r="AR3" s="55"/>
      <c r="AS3" s="55"/>
      <c r="AT3" s="55"/>
      <c r="AU3" s="55"/>
      <c r="AV3" s="55"/>
      <c r="AW3" s="50"/>
      <c r="AX3" s="51"/>
      <c r="AY3" s="51"/>
    </row>
    <row r="4" spans="1:51" ht="45">
      <c r="A4" s="57" t="s">
        <v>67</v>
      </c>
      <c r="B4" s="58">
        <f>1/C3</f>
        <v>0.4230022613682044</v>
      </c>
      <c r="C4" s="58">
        <v>1</v>
      </c>
      <c r="D4" s="58">
        <v>1.2761101737411493</v>
      </c>
      <c r="E4" s="55"/>
      <c r="F4" s="55"/>
      <c r="G4" s="55"/>
      <c r="H4" s="55"/>
      <c r="I4" s="55"/>
      <c r="J4" s="50"/>
      <c r="K4" s="57" t="s">
        <v>124</v>
      </c>
      <c r="L4" s="58">
        <f>1/M3</f>
        <v>0.40553317346153056</v>
      </c>
      <c r="M4" s="58">
        <v>1</v>
      </c>
      <c r="N4" s="58">
        <v>4.2050473663520078</v>
      </c>
      <c r="O4" s="55"/>
      <c r="P4" s="55"/>
      <c r="Q4" s="55"/>
      <c r="R4" s="55"/>
      <c r="S4" s="55"/>
      <c r="T4" s="50"/>
      <c r="U4" s="57" t="s">
        <v>73</v>
      </c>
      <c r="V4" s="58">
        <f>1/W3</f>
        <v>0.54615873275009197</v>
      </c>
      <c r="W4" s="58">
        <v>1</v>
      </c>
      <c r="X4" s="58">
        <v>2.5225064295340722</v>
      </c>
      <c r="Y4" s="55"/>
      <c r="Z4" s="55"/>
      <c r="AA4" s="55"/>
      <c r="AB4" s="55"/>
      <c r="AC4" s="55"/>
      <c r="AD4" s="50"/>
      <c r="AE4" s="57" t="s">
        <v>76</v>
      </c>
      <c r="AF4" s="58">
        <f>1/AG3</f>
        <v>0.5</v>
      </c>
      <c r="AG4" s="58">
        <v>1</v>
      </c>
      <c r="AH4" s="55"/>
      <c r="AI4" s="55"/>
      <c r="AJ4" s="55"/>
      <c r="AK4" s="55"/>
      <c r="AL4" s="55"/>
      <c r="AM4" s="50"/>
      <c r="AN4" s="57" t="s">
        <v>78</v>
      </c>
      <c r="AO4" s="58">
        <f>1/AP3</f>
        <v>0.40553317346153056</v>
      </c>
      <c r="AP4" s="58">
        <v>1</v>
      </c>
      <c r="AQ4" s="58">
        <v>4.2050473663520078</v>
      </c>
      <c r="AR4" s="55"/>
      <c r="AS4" s="55"/>
      <c r="AT4" s="55"/>
      <c r="AU4" s="55"/>
      <c r="AV4" s="55"/>
      <c r="AW4" s="50"/>
      <c r="AX4" s="51"/>
      <c r="AY4" s="51"/>
    </row>
    <row r="5" spans="1:51" ht="45">
      <c r="A5" s="57" t="s">
        <v>68</v>
      </c>
      <c r="B5" s="58">
        <f>1/D3</f>
        <v>0.33155855455900968</v>
      </c>
      <c r="C5" s="58">
        <f>1/D4</f>
        <v>0.78363139843037055</v>
      </c>
      <c r="D5" s="58">
        <v>1</v>
      </c>
      <c r="E5" s="55"/>
      <c r="F5" s="55"/>
      <c r="G5" s="55"/>
      <c r="H5" s="55"/>
      <c r="I5" s="55"/>
      <c r="J5" s="50"/>
      <c r="K5" s="57" t="s">
        <v>71</v>
      </c>
      <c r="L5" s="58">
        <f>1/N3</f>
        <v>9.6449988799006611E-2</v>
      </c>
      <c r="M5" s="58">
        <f>1/N4</f>
        <v>0.23780944966323339</v>
      </c>
      <c r="N5" s="58">
        <v>1</v>
      </c>
      <c r="O5" s="55"/>
      <c r="P5" s="55"/>
      <c r="Q5" s="55"/>
      <c r="R5" s="55"/>
      <c r="S5" s="55"/>
      <c r="T5" s="50"/>
      <c r="U5" s="57" t="s">
        <v>74</v>
      </c>
      <c r="V5" s="58">
        <f>1/X3</f>
        <v>0.216515465542128</v>
      </c>
      <c r="W5" s="58">
        <f>1/X4</f>
        <v>0.39643110054815928</v>
      </c>
      <c r="X5" s="58">
        <v>1</v>
      </c>
      <c r="Y5" s="55"/>
      <c r="Z5" s="55"/>
      <c r="AA5" s="55"/>
      <c r="AB5" s="55"/>
      <c r="AC5" s="55"/>
      <c r="AD5" s="50"/>
      <c r="AE5" s="55"/>
      <c r="AF5" s="55">
        <f t="shared" ref="AF5:AG5" si="0">SUM(AF2:AF4)</f>
        <v>1.5</v>
      </c>
      <c r="AG5" s="55">
        <f t="shared" si="0"/>
        <v>3</v>
      </c>
      <c r="AH5" s="55"/>
      <c r="AI5" s="55"/>
      <c r="AJ5" s="55"/>
      <c r="AK5" s="55"/>
      <c r="AL5" s="55"/>
      <c r="AM5" s="50"/>
      <c r="AN5" s="57" t="s">
        <v>79</v>
      </c>
      <c r="AO5" s="58">
        <f>1/AQ3</f>
        <v>9.6449988799006611E-2</v>
      </c>
      <c r="AP5" s="58">
        <f>1/AQ4</f>
        <v>0.23780944966323339</v>
      </c>
      <c r="AQ5" s="58">
        <v>1</v>
      </c>
      <c r="AR5" s="55"/>
      <c r="AS5" s="55"/>
      <c r="AT5" s="55"/>
      <c r="AU5" s="55"/>
      <c r="AV5" s="55"/>
      <c r="AW5" s="50"/>
      <c r="AX5" s="51"/>
      <c r="AY5" s="51"/>
    </row>
    <row r="6" spans="1:51">
      <c r="A6" s="55"/>
      <c r="B6" s="55">
        <f>SUM(B3:B5)</f>
        <v>1.7545608159272139</v>
      </c>
      <c r="C6" s="55">
        <f t="shared" ref="C6:D6" si="1">SUM(C3:C5)</f>
        <v>4.1476849539964604</v>
      </c>
      <c r="D6" s="55">
        <f t="shared" si="1"/>
        <v>5.2921686836174899</v>
      </c>
      <c r="E6" s="55"/>
      <c r="F6" s="55"/>
      <c r="G6" s="55"/>
      <c r="H6" s="55"/>
      <c r="I6" s="55"/>
      <c r="J6" s="50"/>
      <c r="K6" s="55"/>
      <c r="L6" s="55">
        <f t="shared" ref="L6:N6" si="2">SUM(L3:L5)</f>
        <v>1.5019831622605373</v>
      </c>
      <c r="M6" s="55">
        <f t="shared" si="2"/>
        <v>3.7036989636190167</v>
      </c>
      <c r="N6" s="55">
        <f t="shared" si="2"/>
        <v>15.573114926047769</v>
      </c>
      <c r="O6" s="55"/>
      <c r="P6" s="55"/>
      <c r="Q6" s="55"/>
      <c r="R6" s="55"/>
      <c r="S6" s="55"/>
      <c r="T6" s="50"/>
      <c r="U6" s="55"/>
      <c r="V6" s="55">
        <f t="shared" ref="V6:X6" si="3">SUM(V3:V5)</f>
        <v>1.7626741982922198</v>
      </c>
      <c r="W6" s="55">
        <f t="shared" si="3"/>
        <v>3.2274006338277341</v>
      </c>
      <c r="X6" s="55">
        <f t="shared" si="3"/>
        <v>8.1411141465215096</v>
      </c>
      <c r="Y6" s="55"/>
      <c r="Z6" s="55"/>
      <c r="AA6" s="55"/>
      <c r="AB6" s="55"/>
      <c r="AC6" s="55"/>
      <c r="AD6" s="50"/>
      <c r="AE6" s="55"/>
      <c r="AF6" s="55"/>
      <c r="AG6" s="55"/>
      <c r="AH6" s="55"/>
      <c r="AI6" s="55"/>
      <c r="AJ6" s="55"/>
      <c r="AK6" s="55"/>
      <c r="AL6" s="55"/>
      <c r="AM6" s="50"/>
      <c r="AN6" s="55"/>
      <c r="AO6" s="55">
        <f t="shared" ref="AO6:AQ6" si="4">SUM(AO3:AO5)</f>
        <v>1.5019831622605373</v>
      </c>
      <c r="AP6" s="55">
        <f t="shared" si="4"/>
        <v>3.7036989636190167</v>
      </c>
      <c r="AQ6" s="55">
        <f t="shared" si="4"/>
        <v>15.573114926047769</v>
      </c>
      <c r="AR6" s="55"/>
      <c r="AS6" s="55"/>
      <c r="AT6" s="55"/>
      <c r="AU6" s="55"/>
      <c r="AV6" s="55"/>
      <c r="AW6" s="50"/>
      <c r="AX6" s="51"/>
      <c r="AY6" s="51"/>
    </row>
    <row r="8" spans="1:51" ht="60">
      <c r="A8" s="56" t="s">
        <v>122</v>
      </c>
      <c r="B8" s="57" t="s">
        <v>66</v>
      </c>
      <c r="C8" s="57" t="s">
        <v>67</v>
      </c>
      <c r="D8" s="57" t="s">
        <v>68</v>
      </c>
      <c r="E8" s="59" t="s">
        <v>111</v>
      </c>
      <c r="F8" s="60" t="s">
        <v>128</v>
      </c>
      <c r="G8" s="55"/>
      <c r="H8" s="55"/>
      <c r="I8" s="55"/>
      <c r="K8" s="56" t="s">
        <v>123</v>
      </c>
      <c r="L8" s="57" t="s">
        <v>69</v>
      </c>
      <c r="M8" s="57" t="s">
        <v>124</v>
      </c>
      <c r="N8" s="57" t="s">
        <v>71</v>
      </c>
      <c r="O8" s="59" t="s">
        <v>111</v>
      </c>
      <c r="P8" s="60" t="s">
        <v>128</v>
      </c>
      <c r="Q8" s="55"/>
      <c r="R8" s="55"/>
      <c r="S8" s="55"/>
      <c r="U8" s="56" t="s">
        <v>125</v>
      </c>
      <c r="V8" s="57" t="s">
        <v>72</v>
      </c>
      <c r="W8" s="57" t="s">
        <v>73</v>
      </c>
      <c r="X8" s="57" t="s">
        <v>74</v>
      </c>
      <c r="Y8" s="59" t="s">
        <v>111</v>
      </c>
      <c r="Z8" s="60" t="s">
        <v>128</v>
      </c>
      <c r="AA8" s="55"/>
      <c r="AB8" s="55"/>
      <c r="AC8" s="55"/>
      <c r="AE8" s="56" t="s">
        <v>126</v>
      </c>
      <c r="AF8" s="57" t="s">
        <v>75</v>
      </c>
      <c r="AG8" s="57" t="s">
        <v>76</v>
      </c>
      <c r="AH8" s="59" t="s">
        <v>111</v>
      </c>
      <c r="AI8" s="60" t="s">
        <v>128</v>
      </c>
      <c r="AJ8" s="55"/>
      <c r="AK8" s="55"/>
      <c r="AL8" s="55"/>
      <c r="AN8" s="56" t="s">
        <v>127</v>
      </c>
      <c r="AO8" s="57" t="s">
        <v>77</v>
      </c>
      <c r="AP8" s="57" t="s">
        <v>78</v>
      </c>
      <c r="AQ8" s="57" t="s">
        <v>79</v>
      </c>
      <c r="AR8" s="59" t="s">
        <v>111</v>
      </c>
      <c r="AS8" s="60" t="s">
        <v>128</v>
      </c>
      <c r="AT8" s="55"/>
      <c r="AU8" s="55"/>
      <c r="AV8" s="55"/>
    </row>
    <row r="9" spans="1:51" ht="60">
      <c r="A9" s="57" t="s">
        <v>66</v>
      </c>
      <c r="B9" s="58">
        <f>B3/$B$6</f>
        <v>0.56994319656656689</v>
      </c>
      <c r="C9" s="58">
        <f>C3/$C$6</f>
        <v>0.56996941228340636</v>
      </c>
      <c r="D9" s="58">
        <f>D3/$D$6</f>
        <v>0.56990974592569066</v>
      </c>
      <c r="E9" s="58">
        <f>AVERAGE(B9:D9)</f>
        <v>0.56994078492522127</v>
      </c>
      <c r="F9" s="58" cm="1">
        <f t="array" ref="F9:F11">MMULT(B3:D5,E9:E11)</f>
        <v>1.7098223611918781</v>
      </c>
      <c r="G9" s="55"/>
      <c r="H9" s="55"/>
      <c r="I9" s="55"/>
      <c r="K9" s="57" t="s">
        <v>69</v>
      </c>
      <c r="L9" s="58">
        <f>L3/$L$6</f>
        <v>0.6657864249922516</v>
      </c>
      <c r="M9" s="58">
        <f>M3/$M$6</f>
        <v>0.66579102086263364</v>
      </c>
      <c r="N9" s="58">
        <f>N3/$N$6</f>
        <v>0.66576709983395899</v>
      </c>
      <c r="O9" s="58">
        <f>AVERAGE(L9:N9)</f>
        <v>0.66578151522961482</v>
      </c>
      <c r="P9" s="58" cm="1">
        <f t="array" ref="P9:P11">MMULT(L3:N5,O9:O11)</f>
        <v>1.9973445473963853</v>
      </c>
      <c r="Q9" s="55"/>
      <c r="R9" s="55"/>
      <c r="S9" s="55"/>
      <c r="U9" s="57" t="s">
        <v>72</v>
      </c>
      <c r="V9" s="58">
        <f>V3/$V$6</f>
        <v>0.56731981495437867</v>
      </c>
      <c r="W9" s="58">
        <f>W3/$W$6</f>
        <v>0.56732018767314429</v>
      </c>
      <c r="X9" s="58">
        <f>X3/$X$6</f>
        <v>0.56731887477107179</v>
      </c>
      <c r="Y9" s="58">
        <f>AVERAGE(V9:X9)</f>
        <v>0.56731962579953155</v>
      </c>
      <c r="Z9" s="58" cm="1">
        <f t="array" ref="Z9:Z11">MMULT(V3:X5,Y9:Y11)</f>
        <v>1.7019588774016638</v>
      </c>
      <c r="AA9" s="55"/>
      <c r="AB9" s="55"/>
      <c r="AC9" s="55"/>
      <c r="AE9" s="57" t="s">
        <v>75</v>
      </c>
      <c r="AF9" s="58">
        <f>AF3/$AF$5</f>
        <v>0.66666666666666663</v>
      </c>
      <c r="AG9" s="58">
        <f>AG3/$AG$5</f>
        <v>0.66666666666666663</v>
      </c>
      <c r="AH9" s="58">
        <f>AVERAGE(AF9:AG9)</f>
        <v>0.66666666666666663</v>
      </c>
      <c r="AI9" s="58" cm="1">
        <f t="array" ref="AI9:AI10">MMULT(AF3:AG4,AH9:AH10)</f>
        <v>1.3333333333333333</v>
      </c>
      <c r="AJ9" s="55"/>
      <c r="AK9" s="55"/>
      <c r="AL9" s="55"/>
      <c r="AN9" s="57" t="s">
        <v>77</v>
      </c>
      <c r="AO9" s="58">
        <f>AO3/$AO$6</f>
        <v>0.6657864249922516</v>
      </c>
      <c r="AP9" s="58">
        <f>AP3/$AP$6</f>
        <v>0.66579102086263364</v>
      </c>
      <c r="AQ9" s="58">
        <f>AQ3/$AQ$6</f>
        <v>0.66576709983395899</v>
      </c>
      <c r="AR9" s="58">
        <f>AVERAGE(AO9:AQ9)</f>
        <v>0.66578151522961482</v>
      </c>
      <c r="AS9" s="58" cm="1">
        <f t="array" ref="AS9:AS11">MMULT(AO3:AQ5,AR9:AR11)</f>
        <v>1.9973445473963853</v>
      </c>
      <c r="AT9" s="55"/>
      <c r="AU9" s="55"/>
      <c r="AV9" s="55"/>
    </row>
    <row r="10" spans="1:51" ht="45">
      <c r="A10" s="57" t="s">
        <v>67</v>
      </c>
      <c r="B10" s="58">
        <f t="shared" ref="B10:B11" si="5">B4/$B$6</f>
        <v>0.24108726099908082</v>
      </c>
      <c r="C10" s="58">
        <f t="shared" ref="C10:C11" si="6">C4/$C$6</f>
        <v>0.2410983503065873</v>
      </c>
      <c r="D10" s="58">
        <f t="shared" ref="D10:D11" si="7">D4/$D$6</f>
        <v>0.24113180248609489</v>
      </c>
      <c r="E10" s="58">
        <f>AVERAGE(B10:D10)</f>
        <v>0.24110580459725436</v>
      </c>
      <c r="F10" s="58">
        <v>0.72331741494004875</v>
      </c>
      <c r="G10" s="55"/>
      <c r="H10" s="55"/>
      <c r="I10" s="55"/>
      <c r="K10" s="57" t="s">
        <v>124</v>
      </c>
      <c r="L10" s="58">
        <f t="shared" ref="L10:L11" si="8">L4/$L$6</f>
        <v>0.26999848177471503</v>
      </c>
      <c r="M10" s="58">
        <f t="shared" ref="M10:M11" si="9">M4/$M$6</f>
        <v>0.27000034555261593</v>
      </c>
      <c r="N10" s="58">
        <f t="shared" ref="N10:N11" si="10">N4/$N$6</f>
        <v>0.27001967084430861</v>
      </c>
      <c r="O10" s="58">
        <f t="shared" ref="O10:O11" si="11">AVERAGE(L10:N10)</f>
        <v>0.27000616605721323</v>
      </c>
      <c r="P10" s="58">
        <v>0.8100184984524853</v>
      </c>
      <c r="Q10" s="55"/>
      <c r="R10" s="55"/>
      <c r="S10" s="55"/>
      <c r="U10" s="57" t="s">
        <v>73</v>
      </c>
      <c r="V10" s="58">
        <f t="shared" ref="V10:V11" si="12">V4/$V$6</f>
        <v>0.30984667119950016</v>
      </c>
      <c r="W10" s="58">
        <f t="shared" ref="W10:W11" si="13">W4/$W$6</f>
        <v>0.30984687476310885</v>
      </c>
      <c r="X10" s="58">
        <f t="shared" ref="X10:X11" si="14">X4/$X$6</f>
        <v>0.3098478149470334</v>
      </c>
      <c r="Y10" s="58">
        <f t="shared" ref="Y10:Y11" si="15">AVERAGE(V10:X10)</f>
        <v>0.3098471203032141</v>
      </c>
      <c r="Z10" s="58">
        <v>0.92954136091055783</v>
      </c>
      <c r="AA10" s="55"/>
      <c r="AB10" s="55"/>
      <c r="AC10" s="55"/>
      <c r="AE10" s="57" t="s">
        <v>76</v>
      </c>
      <c r="AF10" s="58">
        <f>AF4/$AF$5</f>
        <v>0.33333333333333331</v>
      </c>
      <c r="AG10" s="58">
        <f>AG4/$AG$5</f>
        <v>0.33333333333333331</v>
      </c>
      <c r="AH10" s="58">
        <f>AVERAGE(AF10:AG10)</f>
        <v>0.33333333333333331</v>
      </c>
      <c r="AI10" s="58">
        <v>0.66666666666666663</v>
      </c>
      <c r="AJ10" s="55"/>
      <c r="AK10" s="55"/>
      <c r="AL10" s="55"/>
      <c r="AN10" s="57" t="s">
        <v>78</v>
      </c>
      <c r="AO10" s="58">
        <f t="shared" ref="AO10:AO11" si="16">AO4/$AO$6</f>
        <v>0.26999848177471503</v>
      </c>
      <c r="AP10" s="58">
        <f t="shared" ref="AP10:AP11" si="17">AP4/$AP$6</f>
        <v>0.27000034555261593</v>
      </c>
      <c r="AQ10" s="58">
        <f t="shared" ref="AQ10:AQ11" si="18">AQ4/$AQ$6</f>
        <v>0.27001967084430861</v>
      </c>
      <c r="AR10" s="58">
        <f t="shared" ref="AR10:AR11" si="19">AVERAGE(AO10:AQ10)</f>
        <v>0.27000616605721323</v>
      </c>
      <c r="AS10" s="58">
        <v>0.8100184984524853</v>
      </c>
      <c r="AT10" s="55"/>
      <c r="AU10" s="55"/>
      <c r="AV10" s="55"/>
    </row>
    <row r="11" spans="1:51" ht="45">
      <c r="A11" s="57" t="s">
        <v>68</v>
      </c>
      <c r="B11" s="58">
        <f t="shared" si="5"/>
        <v>0.18896954243435243</v>
      </c>
      <c r="C11" s="58">
        <f t="shared" si="6"/>
        <v>0.18893223741000637</v>
      </c>
      <c r="D11" s="58">
        <f t="shared" si="7"/>
        <v>0.18895845158821445</v>
      </c>
      <c r="E11" s="58">
        <f>AVERAGE(B11:D11)</f>
        <v>0.18895341047752442</v>
      </c>
      <c r="F11" s="58">
        <v>0.56686023213778436</v>
      </c>
      <c r="G11" s="55"/>
      <c r="H11" s="55"/>
      <c r="I11" s="55"/>
      <c r="K11" s="57" t="s">
        <v>71</v>
      </c>
      <c r="L11" s="58">
        <f t="shared" si="8"/>
        <v>6.4215093233033316E-2</v>
      </c>
      <c r="M11" s="58">
        <f t="shared" si="9"/>
        <v>6.4208633584750444E-2</v>
      </c>
      <c r="N11" s="58">
        <f t="shared" si="10"/>
        <v>6.4213229321732457E-2</v>
      </c>
      <c r="O11" s="58">
        <f t="shared" si="11"/>
        <v>6.4212318713172067E-2</v>
      </c>
      <c r="P11" s="58">
        <v>0.19263695615539955</v>
      </c>
      <c r="Q11" s="55"/>
      <c r="R11" s="55"/>
      <c r="S11" s="55"/>
      <c r="U11" s="57" t="s">
        <v>74</v>
      </c>
      <c r="V11" s="58">
        <f t="shared" si="12"/>
        <v>0.12283351384612122</v>
      </c>
      <c r="W11" s="58">
        <f t="shared" si="13"/>
        <v>0.12283293756374691</v>
      </c>
      <c r="X11" s="58">
        <f t="shared" si="14"/>
        <v>0.12283331028189483</v>
      </c>
      <c r="Y11" s="58">
        <f t="shared" si="15"/>
        <v>0.12283325389725432</v>
      </c>
      <c r="Z11" s="58">
        <v>0.36849976169190679</v>
      </c>
      <c r="AA11" s="55"/>
      <c r="AB11" s="55"/>
      <c r="AC11" s="55"/>
      <c r="AF11" s="62">
        <f>SUM(AF9:AF10)</f>
        <v>1</v>
      </c>
      <c r="AG11" s="62">
        <f>SUM(AG9:AG10)</f>
        <v>1</v>
      </c>
      <c r="AH11" s="62">
        <f>SUM(AH9:AH10)</f>
        <v>1</v>
      </c>
      <c r="AJ11" s="55"/>
      <c r="AK11" s="55"/>
      <c r="AL11" s="55"/>
      <c r="AN11" s="57" t="s">
        <v>79</v>
      </c>
      <c r="AO11" s="58">
        <f t="shared" si="16"/>
        <v>6.4215093233033316E-2</v>
      </c>
      <c r="AP11" s="58">
        <f t="shared" si="17"/>
        <v>6.4208633584750444E-2</v>
      </c>
      <c r="AQ11" s="58">
        <f t="shared" si="18"/>
        <v>6.4213229321732457E-2</v>
      </c>
      <c r="AR11" s="58">
        <f t="shared" si="19"/>
        <v>6.4212318713172067E-2</v>
      </c>
      <c r="AS11" s="58">
        <v>0.19263695615539955</v>
      </c>
      <c r="AT11" s="55"/>
      <c r="AU11" s="55"/>
      <c r="AV11" s="55"/>
    </row>
    <row r="12" spans="1:51">
      <c r="B12" s="62">
        <f>SUM(B9:B11)</f>
        <v>1.0000000000000002</v>
      </c>
      <c r="C12" s="62">
        <f t="shared" ref="C12:D12" si="20">SUM(C9:C11)</f>
        <v>1</v>
      </c>
      <c r="D12" s="62">
        <f t="shared" si="20"/>
        <v>1</v>
      </c>
      <c r="E12" s="62">
        <f>SUM(E9:E11)</f>
        <v>1</v>
      </c>
      <c r="L12" s="62">
        <f t="shared" ref="L12:O12" si="21">SUM(L9:L11)</f>
        <v>0.99999999999999989</v>
      </c>
      <c r="M12" s="62">
        <f t="shared" si="21"/>
        <v>1</v>
      </c>
      <c r="N12" s="62">
        <f t="shared" si="21"/>
        <v>1</v>
      </c>
      <c r="O12" s="62">
        <f t="shared" si="21"/>
        <v>1</v>
      </c>
      <c r="V12" s="62">
        <f t="shared" ref="V12:Y12" si="22">SUM(V9:V11)</f>
        <v>1</v>
      </c>
      <c r="W12" s="62">
        <f t="shared" si="22"/>
        <v>1</v>
      </c>
      <c r="X12" s="62">
        <f t="shared" si="22"/>
        <v>1</v>
      </c>
      <c r="Y12" s="62">
        <f t="shared" si="22"/>
        <v>1</v>
      </c>
      <c r="AO12" s="62">
        <f>SUM(AO9:AO11)</f>
        <v>0.99999999999999989</v>
      </c>
      <c r="AP12" s="62">
        <f t="shared" ref="AP12:AR12" si="23">SUM(AP9:AP11)</f>
        <v>1</v>
      </c>
      <c r="AQ12" s="62">
        <f t="shared" si="23"/>
        <v>1</v>
      </c>
      <c r="AR12" s="62">
        <f t="shared" si="23"/>
        <v>1</v>
      </c>
    </row>
    <row r="14" spans="1:51" ht="60">
      <c r="A14" s="56" t="s">
        <v>122</v>
      </c>
      <c r="B14" s="57" t="s">
        <v>66</v>
      </c>
      <c r="C14" s="57" t="s">
        <v>67</v>
      </c>
      <c r="D14" s="57" t="s">
        <v>68</v>
      </c>
      <c r="E14" s="60" t="s">
        <v>128</v>
      </c>
      <c r="F14" s="59" t="s">
        <v>111</v>
      </c>
      <c r="G14" s="63" t="s">
        <v>129</v>
      </c>
      <c r="H14" s="64" t="s">
        <v>114</v>
      </c>
      <c r="I14" s="65" t="s">
        <v>130</v>
      </c>
      <c r="K14" s="56" t="s">
        <v>123</v>
      </c>
      <c r="L14" s="57" t="s">
        <v>69</v>
      </c>
      <c r="M14" s="57" t="s">
        <v>124</v>
      </c>
      <c r="N14" s="57" t="s">
        <v>71</v>
      </c>
      <c r="O14" s="60" t="s">
        <v>128</v>
      </c>
      <c r="P14" s="59" t="s">
        <v>111</v>
      </c>
      <c r="Q14" s="63" t="s">
        <v>129</v>
      </c>
      <c r="R14" s="64" t="s">
        <v>114</v>
      </c>
      <c r="S14" s="65" t="s">
        <v>130</v>
      </c>
      <c r="U14" s="56" t="s">
        <v>125</v>
      </c>
      <c r="V14" s="57" t="s">
        <v>72</v>
      </c>
      <c r="W14" s="57" t="s">
        <v>73</v>
      </c>
      <c r="X14" s="57" t="s">
        <v>74</v>
      </c>
      <c r="Y14" s="60" t="s">
        <v>128</v>
      </c>
      <c r="Z14" s="59" t="s">
        <v>111</v>
      </c>
      <c r="AA14" s="63" t="s">
        <v>129</v>
      </c>
      <c r="AB14" s="64" t="s">
        <v>114</v>
      </c>
      <c r="AC14" s="65" t="s">
        <v>130</v>
      </c>
      <c r="AE14" s="56" t="s">
        <v>126</v>
      </c>
      <c r="AF14" s="57" t="s">
        <v>75</v>
      </c>
      <c r="AG14" s="57" t="s">
        <v>76</v>
      </c>
      <c r="AH14" s="60" t="s">
        <v>128</v>
      </c>
      <c r="AI14" s="59" t="s">
        <v>111</v>
      </c>
      <c r="AJ14" s="63" t="s">
        <v>129</v>
      </c>
      <c r="AK14" s="64" t="s">
        <v>114</v>
      </c>
      <c r="AL14" s="65" t="s">
        <v>130</v>
      </c>
      <c r="AN14" s="56" t="s">
        <v>127</v>
      </c>
      <c r="AO14" s="57" t="s">
        <v>77</v>
      </c>
      <c r="AP14" s="57" t="s">
        <v>78</v>
      </c>
      <c r="AQ14" s="57" t="s">
        <v>79</v>
      </c>
      <c r="AR14" s="60" t="s">
        <v>128</v>
      </c>
      <c r="AS14" s="59" t="s">
        <v>111</v>
      </c>
      <c r="AT14" s="63" t="s">
        <v>129</v>
      </c>
      <c r="AU14" s="64" t="s">
        <v>114</v>
      </c>
      <c r="AV14" s="65" t="s">
        <v>130</v>
      </c>
    </row>
    <row r="15" spans="1:51" ht="60">
      <c r="A15" s="57" t="s">
        <v>66</v>
      </c>
      <c r="B15" s="58">
        <f>B3*$E$9</f>
        <v>0.56994078492522127</v>
      </c>
      <c r="C15" s="58">
        <f>C3*$E$10</f>
        <v>0.56998703462576206</v>
      </c>
      <c r="D15" s="58">
        <f>D3*$E$11</f>
        <v>0.56989454164089481</v>
      </c>
      <c r="E15" s="58">
        <f>SUM(B15:D15)</f>
        <v>1.7098223611918781</v>
      </c>
      <c r="F15" s="58">
        <f>E9</f>
        <v>0.56994078492522127</v>
      </c>
      <c r="G15" s="58">
        <f>E15/F15</f>
        <v>3.0000000112576859</v>
      </c>
      <c r="H15" s="67">
        <f>(G18-G19)/(G19-1)</f>
        <v>5.6288429473028145E-9</v>
      </c>
      <c r="I15" s="67">
        <f>H15/G20</f>
        <v>1.0824697975582335E-8</v>
      </c>
      <c r="K15" s="57" t="s">
        <v>69</v>
      </c>
      <c r="L15" s="58">
        <f>L3*$O$9</f>
        <v>0.66578151522961482</v>
      </c>
      <c r="M15" s="58">
        <f>M3*$O$10</f>
        <v>0.66580537358388614</v>
      </c>
      <c r="N15" s="58">
        <f>N3*$O$11</f>
        <v>0.66575765858288438</v>
      </c>
      <c r="O15" s="58">
        <f>SUM(L15:N15)</f>
        <v>1.9973445473963853</v>
      </c>
      <c r="P15" s="58">
        <f>O9</f>
        <v>0.66578151522961482</v>
      </c>
      <c r="Q15" s="58">
        <f t="shared" ref="Q15:Q17" si="24">O15/P15</f>
        <v>3.0000000025647164</v>
      </c>
      <c r="R15" s="67">
        <f>(Q18-Q19)/(Q19-1)</f>
        <v>1.2823582196119787E-9</v>
      </c>
      <c r="S15" s="67">
        <f>R15/Q20</f>
        <v>2.4660734992538052E-9</v>
      </c>
      <c r="U15" s="57" t="s">
        <v>72</v>
      </c>
      <c r="V15" s="58">
        <f>V3*$Y$9</f>
        <v>0.56731962579953155</v>
      </c>
      <c r="W15" s="58">
        <f>W3*$Y$10</f>
        <v>0.56732063724959625</v>
      </c>
      <c r="X15" s="58">
        <f>X3*$Y$11</f>
        <v>0.56731861435253594</v>
      </c>
      <c r="Y15" s="58">
        <f>SUM(V15:X15)</f>
        <v>1.7019588774016638</v>
      </c>
      <c r="Z15" s="58">
        <f>Y9</f>
        <v>0.56731962579953155</v>
      </c>
      <c r="AA15" s="58">
        <f>Y15/Z15</f>
        <v>3.0000000000054099</v>
      </c>
      <c r="AB15" s="67">
        <f>(AA18-AA19)/(AA19-1)</f>
        <v>2.7049473771967314E-12</v>
      </c>
      <c r="AC15" s="67">
        <f>AB15/AA20</f>
        <v>5.2018218792244829E-12</v>
      </c>
      <c r="AE15" s="57" t="s">
        <v>75</v>
      </c>
      <c r="AF15" s="58">
        <f>AF3*$AH$9</f>
        <v>0.66666666666666663</v>
      </c>
      <c r="AG15" s="58">
        <f>AG3*$AH$10</f>
        <v>0.66666666666666663</v>
      </c>
      <c r="AH15" s="58">
        <f>SUM(AF15:AG15)</f>
        <v>1.3333333333333333</v>
      </c>
      <c r="AI15" s="58">
        <f>AH9</f>
        <v>0.66666666666666663</v>
      </c>
      <c r="AJ15" s="58">
        <f t="shared" ref="AJ15:AJ16" si="25">AH15/AI15</f>
        <v>2</v>
      </c>
      <c r="AK15" s="70">
        <f>(AJ17-AJ18)/(AJ18-1)</f>
        <v>0</v>
      </c>
      <c r="AL15" s="70">
        <f>AK15/AJ19</f>
        <v>0</v>
      </c>
      <c r="AN15" s="57" t="s">
        <v>77</v>
      </c>
      <c r="AO15" s="58">
        <f>AO3*$AR$9</f>
        <v>0.66578151522961482</v>
      </c>
      <c r="AP15" s="58">
        <f>AP3*$AR$10</f>
        <v>0.66580537358388614</v>
      </c>
      <c r="AQ15" s="58">
        <f>AQ3*$AR$11</f>
        <v>0.66575765858288438</v>
      </c>
      <c r="AR15" s="58">
        <f>SUM(AO15:AQ15)</f>
        <v>1.9973445473963853</v>
      </c>
      <c r="AS15" s="58">
        <f>AR9</f>
        <v>0.66578151522961482</v>
      </c>
      <c r="AT15" s="58">
        <f t="shared" ref="AT15:AT17" si="26">AR15/AS15</f>
        <v>3.0000000025647164</v>
      </c>
      <c r="AU15" s="67">
        <f>(AT18-AT19)/(AT19-1)</f>
        <v>1.2823582196119787E-9</v>
      </c>
      <c r="AV15" s="67">
        <f>AU15/AT20</f>
        <v>2.4660734992538052E-9</v>
      </c>
    </row>
    <row r="16" spans="1:51" ht="45">
      <c r="A16" s="57" t="s">
        <v>67</v>
      </c>
      <c r="B16" s="58">
        <f>B4*$E$9</f>
        <v>0.24108624086933803</v>
      </c>
      <c r="C16" s="58">
        <f>C4*$E$10</f>
        <v>0.24110580459725436</v>
      </c>
      <c r="D16" s="58">
        <f t="shared" ref="D16:D17" si="27">D4*$E$11</f>
        <v>0.24112536947345639</v>
      </c>
      <c r="E16" s="58">
        <f>SUM(B16:D16)</f>
        <v>0.72331741494004875</v>
      </c>
      <c r="F16" s="58">
        <f>E10</f>
        <v>0.24110580459725436</v>
      </c>
      <c r="G16" s="58">
        <f>E16/F16</f>
        <v>3.0000000047625801</v>
      </c>
      <c r="H16" s="68"/>
      <c r="I16" s="68"/>
      <c r="K16" s="57" t="s">
        <v>124</v>
      </c>
      <c r="L16" s="58">
        <f t="shared" ref="L16:L17" si="28">L4*$O$9</f>
        <v>0.26999649070309206</v>
      </c>
      <c r="M16" s="58">
        <f t="shared" ref="M16:M17" si="29">M4*$O$10</f>
        <v>0.27000616605721323</v>
      </c>
      <c r="N16" s="58">
        <f t="shared" ref="N16:N17" si="30">N4*$O$11</f>
        <v>0.27001584169217996</v>
      </c>
      <c r="O16" s="58">
        <f t="shared" ref="O16:O17" si="31">SUM(L16:N16)</f>
        <v>0.8100184984524853</v>
      </c>
      <c r="P16" s="58">
        <f t="shared" ref="P16:P17" si="32">O10</f>
        <v>0.27000616605721323</v>
      </c>
      <c r="Q16" s="58">
        <f t="shared" si="24"/>
        <v>3.0000000010401453</v>
      </c>
      <c r="R16" s="68"/>
      <c r="S16" s="68"/>
      <c r="U16" s="57" t="s">
        <v>73</v>
      </c>
      <c r="V16" s="58">
        <f t="shared" ref="V16:V17" si="33">V4*$Y$9</f>
        <v>0.30984656789092851</v>
      </c>
      <c r="W16" s="58">
        <f t="shared" ref="W16:W17" si="34">W4*$Y$10</f>
        <v>0.3098471203032141</v>
      </c>
      <c r="X16" s="58">
        <f t="shared" ref="X16:X17" si="35">X4*$Y$11</f>
        <v>0.30984767271641517</v>
      </c>
      <c r="Y16" s="58">
        <f t="shared" ref="Y16:Y17" si="36">SUM(V16:X16)</f>
        <v>0.92954136091055783</v>
      </c>
      <c r="Z16" s="58">
        <f t="shared" ref="Z16:Z17" si="37">Y10</f>
        <v>0.3098471203032141</v>
      </c>
      <c r="AA16" s="58">
        <f>Y16/Z16</f>
        <v>3.000000000002955</v>
      </c>
      <c r="AB16" s="68"/>
      <c r="AC16" s="68"/>
      <c r="AE16" s="57" t="s">
        <v>76</v>
      </c>
      <c r="AF16" s="58">
        <f>AF4*$AH$9</f>
        <v>0.33333333333333331</v>
      </c>
      <c r="AG16" s="58">
        <f>AG4*$AH$10</f>
        <v>0.33333333333333331</v>
      </c>
      <c r="AH16" s="58">
        <f>SUM(AF16:AG16)</f>
        <v>0.66666666666666663</v>
      </c>
      <c r="AI16" s="58">
        <f>AH10</f>
        <v>0.33333333333333331</v>
      </c>
      <c r="AJ16" s="58">
        <f t="shared" si="25"/>
        <v>2</v>
      </c>
      <c r="AK16" s="70"/>
      <c r="AL16" s="70"/>
      <c r="AN16" s="57" t="s">
        <v>78</v>
      </c>
      <c r="AO16" s="58">
        <f t="shared" ref="AO16:AO17" si="38">AO4*$AR$9</f>
        <v>0.26999649070309206</v>
      </c>
      <c r="AP16" s="58">
        <f t="shared" ref="AP16:AP17" si="39">AP4*$AR$10</f>
        <v>0.27000616605721323</v>
      </c>
      <c r="AQ16" s="58">
        <f t="shared" ref="AQ16:AQ17" si="40">AQ4*$AR$11</f>
        <v>0.27001584169217996</v>
      </c>
      <c r="AR16" s="58">
        <f t="shared" ref="AR16:AR17" si="41">SUM(AO16:AQ16)</f>
        <v>0.8100184984524853</v>
      </c>
      <c r="AS16" s="58">
        <f>AR10</f>
        <v>0.27000616605721323</v>
      </c>
      <c r="AT16" s="58">
        <f t="shared" si="26"/>
        <v>3.0000000010401453</v>
      </c>
      <c r="AU16" s="68"/>
      <c r="AV16" s="68"/>
    </row>
    <row r="17" spans="1:48" ht="45">
      <c r="A17" s="57" t="s">
        <v>68</v>
      </c>
      <c r="B17" s="58">
        <f>B5*$E$9</f>
        <v>0.18896874283403378</v>
      </c>
      <c r="C17" s="58">
        <f>C5*$E$10</f>
        <v>0.1889380788262261</v>
      </c>
      <c r="D17" s="58">
        <f t="shared" si="27"/>
        <v>0.18895341047752442</v>
      </c>
      <c r="E17" s="58">
        <f>SUM(B17:D17)</f>
        <v>0.56686023213778436</v>
      </c>
      <c r="F17" s="58">
        <f>E11</f>
        <v>0.18895341047752442</v>
      </c>
      <c r="G17" s="58">
        <f>E17/F17</f>
        <v>3.0000000037321954</v>
      </c>
      <c r="H17" s="69"/>
      <c r="I17" s="69"/>
      <c r="K17" s="57" t="s">
        <v>71</v>
      </c>
      <c r="L17" s="58">
        <f t="shared" si="28"/>
        <v>6.4214619686481997E-2</v>
      </c>
      <c r="M17" s="58">
        <f t="shared" si="29"/>
        <v>6.4210017755745488E-2</v>
      </c>
      <c r="N17" s="58">
        <f t="shared" si="30"/>
        <v>6.4212318713172067E-2</v>
      </c>
      <c r="O17" s="58">
        <f t="shared" si="31"/>
        <v>0.19263695615539955</v>
      </c>
      <c r="P17" s="58">
        <f t="shared" si="32"/>
        <v>6.4212318713172067E-2</v>
      </c>
      <c r="Q17" s="58">
        <f t="shared" si="24"/>
        <v>3.0000000002473568</v>
      </c>
      <c r="R17" s="69"/>
      <c r="S17" s="69"/>
      <c r="U17" s="57" t="s">
        <v>74</v>
      </c>
      <c r="V17" s="58">
        <f t="shared" si="33"/>
        <v>0.12283347289117143</v>
      </c>
      <c r="W17" s="58">
        <f t="shared" si="34"/>
        <v>0.12283303490348108</v>
      </c>
      <c r="X17" s="58">
        <f t="shared" si="35"/>
        <v>0.12283325389725432</v>
      </c>
      <c r="Y17" s="58">
        <f t="shared" si="36"/>
        <v>0.36849976169190679</v>
      </c>
      <c r="Z17" s="58">
        <f t="shared" si="37"/>
        <v>0.12283325389725432</v>
      </c>
      <c r="AA17" s="58">
        <f>Y17/Z17</f>
        <v>3.0000000000011711</v>
      </c>
      <c r="AB17" s="69"/>
      <c r="AC17" s="69"/>
      <c r="AI17" s="62" t="s">
        <v>131</v>
      </c>
      <c r="AJ17" s="62">
        <f>MAX(AJ15:AJ16)</f>
        <v>2</v>
      </c>
      <c r="AN17" s="57" t="s">
        <v>79</v>
      </c>
      <c r="AO17" s="58">
        <f t="shared" si="38"/>
        <v>6.4214619686481997E-2</v>
      </c>
      <c r="AP17" s="58">
        <f t="shared" si="39"/>
        <v>6.4210017755745488E-2</v>
      </c>
      <c r="AQ17" s="58">
        <f t="shared" si="40"/>
        <v>6.4212318713172067E-2</v>
      </c>
      <c r="AR17" s="58">
        <f t="shared" si="41"/>
        <v>0.19263695615539955</v>
      </c>
      <c r="AS17" s="58">
        <f>AR11</f>
        <v>6.4212318713172067E-2</v>
      </c>
      <c r="AT17" s="58">
        <f t="shared" si="26"/>
        <v>3.0000000002473568</v>
      </c>
      <c r="AU17" s="69"/>
      <c r="AV17" s="69"/>
    </row>
    <row r="18" spans="1:48">
      <c r="F18" s="62" t="s">
        <v>131</v>
      </c>
      <c r="G18" s="62">
        <f>MAX(G15:G17)</f>
        <v>3.0000000112576859</v>
      </c>
      <c r="P18" s="62" t="s">
        <v>131</v>
      </c>
      <c r="Q18" s="62">
        <f>MAX(Q15:Q17)</f>
        <v>3.0000000025647164</v>
      </c>
      <c r="Z18" s="62" t="s">
        <v>131</v>
      </c>
      <c r="AA18" s="62">
        <f>MAX(AA15:AA17)</f>
        <v>3.0000000000054099</v>
      </c>
      <c r="AI18" s="62" t="s">
        <v>132</v>
      </c>
      <c r="AJ18" s="62">
        <v>2</v>
      </c>
      <c r="AS18" s="62" t="s">
        <v>131</v>
      </c>
      <c r="AT18" s="62">
        <f>MAX(AT15:AT17)</f>
        <v>3.0000000025647164</v>
      </c>
    </row>
    <row r="19" spans="1:48">
      <c r="F19" s="62" t="s">
        <v>132</v>
      </c>
      <c r="G19" s="62">
        <v>3</v>
      </c>
      <c r="P19" s="62" t="s">
        <v>132</v>
      </c>
      <c r="Q19" s="62">
        <v>3</v>
      </c>
      <c r="Z19" s="62" t="s">
        <v>132</v>
      </c>
      <c r="AA19" s="62">
        <v>3</v>
      </c>
      <c r="AI19" s="62" t="s">
        <v>133</v>
      </c>
      <c r="AJ19" s="62">
        <v>0.1</v>
      </c>
      <c r="AS19" s="62" t="s">
        <v>132</v>
      </c>
      <c r="AT19" s="62">
        <v>3</v>
      </c>
    </row>
    <row r="20" spans="1:48">
      <c r="F20" s="62" t="s">
        <v>133</v>
      </c>
      <c r="G20" s="62">
        <v>0.52</v>
      </c>
      <c r="P20" s="62" t="s">
        <v>133</v>
      </c>
      <c r="Q20" s="62">
        <v>0.52</v>
      </c>
      <c r="Z20" s="62" t="s">
        <v>133</v>
      </c>
      <c r="AA20" s="62">
        <v>0.52</v>
      </c>
      <c r="AS20" s="62" t="s">
        <v>133</v>
      </c>
      <c r="AT20" s="62">
        <v>0.52</v>
      </c>
    </row>
  </sheetData>
  <mergeCells count="15">
    <mergeCell ref="H15:H17"/>
    <mergeCell ref="I15:I17"/>
    <mergeCell ref="R15:R17"/>
    <mergeCell ref="S15:S17"/>
    <mergeCell ref="AB15:AB17"/>
    <mergeCell ref="A1:I1"/>
    <mergeCell ref="K1:S1"/>
    <mergeCell ref="U1:AC1"/>
    <mergeCell ref="AE1:AL1"/>
    <mergeCell ref="AN1:AV1"/>
    <mergeCell ref="AC15:AC17"/>
    <mergeCell ref="AK15:AK16"/>
    <mergeCell ref="AL15:AL16"/>
    <mergeCell ref="AU15:AU17"/>
    <mergeCell ref="AV15:AV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83EB-AF4E-4064-9FE9-7D1F506B62FE}">
  <sheetPr>
    <outlinePr summaryBelow="0" summaryRight="0"/>
    <pageSetUpPr fitToPage="1"/>
  </sheetPr>
  <dimension ref="A1:AN46"/>
  <sheetViews>
    <sheetView zoomScale="60" zoomScaleNormal="60" workbookViewId="0">
      <pane xSplit="1" topLeftCell="Z1" activePane="topRight" state="frozen"/>
      <selection pane="topRight" activeCell="AL30" sqref="AL30"/>
    </sheetView>
  </sheetViews>
  <sheetFormatPr defaultColWidth="12.5703125" defaultRowHeight="15.75" customHeight="1"/>
  <cols>
    <col min="1" max="1" width="85.140625" bestFit="1" customWidth="1"/>
    <col min="2" max="3" width="23" customWidth="1"/>
    <col min="4" max="4" width="17.42578125" bestFit="1" customWidth="1"/>
    <col min="5" max="8" width="17.140625" bestFit="1" customWidth="1"/>
    <col min="9" max="9" width="39.42578125" bestFit="1" customWidth="1"/>
    <col min="10" max="10" width="36.85546875" bestFit="1" customWidth="1"/>
    <col min="11" max="11" width="17.140625" bestFit="1" customWidth="1"/>
    <col min="12" max="12" width="33.7109375" customWidth="1"/>
    <col min="13" max="14" width="17.140625" bestFit="1" customWidth="1"/>
    <col min="15" max="15" width="18.5703125" bestFit="1" customWidth="1"/>
    <col min="16" max="17" width="17.140625" bestFit="1" customWidth="1"/>
    <col min="37" max="37" width="17.140625" bestFit="1" customWidth="1"/>
  </cols>
  <sheetData>
    <row r="1" spans="1:40" ht="15.75" customHeight="1">
      <c r="A1" s="2" t="s">
        <v>0</v>
      </c>
      <c r="B1" s="4">
        <v>1</v>
      </c>
      <c r="C1" s="7">
        <v>2</v>
      </c>
      <c r="D1" s="4">
        <v>3</v>
      </c>
      <c r="E1" s="7">
        <v>4</v>
      </c>
      <c r="F1" s="4">
        <v>5</v>
      </c>
      <c r="G1" s="7">
        <v>6</v>
      </c>
      <c r="H1" s="4">
        <v>7</v>
      </c>
      <c r="I1" s="7">
        <v>8</v>
      </c>
      <c r="J1" s="4">
        <v>9</v>
      </c>
      <c r="K1" s="7">
        <v>10</v>
      </c>
      <c r="L1" s="4">
        <v>11</v>
      </c>
      <c r="M1" s="7">
        <v>12</v>
      </c>
      <c r="N1" s="4">
        <v>13</v>
      </c>
      <c r="O1" s="7">
        <v>14</v>
      </c>
      <c r="P1" s="4">
        <v>15</v>
      </c>
      <c r="Q1" s="7">
        <v>16</v>
      </c>
      <c r="R1" s="4">
        <v>17</v>
      </c>
      <c r="S1" s="7">
        <v>18</v>
      </c>
      <c r="T1" s="4">
        <v>19</v>
      </c>
      <c r="U1" s="7">
        <v>20</v>
      </c>
      <c r="V1" s="4">
        <v>21</v>
      </c>
      <c r="W1" s="7">
        <v>22</v>
      </c>
      <c r="X1" s="4">
        <v>23</v>
      </c>
      <c r="Y1" s="7">
        <v>24</v>
      </c>
      <c r="Z1" s="4">
        <v>25</v>
      </c>
      <c r="AA1" s="7">
        <v>26</v>
      </c>
      <c r="AB1" s="4">
        <v>27</v>
      </c>
      <c r="AC1" s="7">
        <v>28</v>
      </c>
      <c r="AD1" s="4">
        <v>29</v>
      </c>
      <c r="AE1" s="7">
        <v>30</v>
      </c>
      <c r="AF1" s="4">
        <v>31</v>
      </c>
      <c r="AG1" s="7">
        <v>32</v>
      </c>
      <c r="AH1" s="4">
        <v>33</v>
      </c>
      <c r="AI1" s="7">
        <v>34</v>
      </c>
      <c r="AJ1" s="4">
        <v>35</v>
      </c>
      <c r="AK1" s="7">
        <v>36</v>
      </c>
    </row>
    <row r="2" spans="1:40" s="15" customFormat="1" ht="15.75" customHeight="1">
      <c r="A2" s="2" t="s">
        <v>1</v>
      </c>
      <c r="B2" s="11" t="s">
        <v>36</v>
      </c>
      <c r="C2" s="12" t="s">
        <v>2</v>
      </c>
      <c r="D2" s="11" t="s">
        <v>4</v>
      </c>
      <c r="E2" s="13" t="s">
        <v>5</v>
      </c>
      <c r="F2" s="14" t="s">
        <v>6</v>
      </c>
      <c r="G2" s="13" t="s">
        <v>37</v>
      </c>
      <c r="H2" s="14" t="s">
        <v>7</v>
      </c>
      <c r="I2" s="13" t="s">
        <v>38</v>
      </c>
      <c r="J2" s="14" t="s">
        <v>39</v>
      </c>
      <c r="K2" s="13" t="s">
        <v>8</v>
      </c>
      <c r="L2" s="14" t="s">
        <v>9</v>
      </c>
      <c r="M2" s="13" t="s">
        <v>11</v>
      </c>
      <c r="N2" s="14" t="s">
        <v>12</v>
      </c>
      <c r="O2" s="13" t="s">
        <v>40</v>
      </c>
      <c r="P2" s="14" t="s">
        <v>13</v>
      </c>
      <c r="Q2" s="13" t="s">
        <v>14</v>
      </c>
      <c r="R2" s="14" t="s">
        <v>15</v>
      </c>
      <c r="S2" s="13" t="s">
        <v>41</v>
      </c>
      <c r="T2" s="14" t="s">
        <v>42</v>
      </c>
      <c r="U2" s="13" t="s">
        <v>16</v>
      </c>
      <c r="V2" s="14" t="s">
        <v>17</v>
      </c>
      <c r="W2" s="13" t="s">
        <v>19</v>
      </c>
      <c r="X2" s="14" t="s">
        <v>20</v>
      </c>
      <c r="Y2" s="13" t="s">
        <v>21</v>
      </c>
      <c r="Z2" s="14" t="s">
        <v>22</v>
      </c>
      <c r="AA2" s="13" t="s">
        <v>23</v>
      </c>
      <c r="AB2" s="14" t="s">
        <v>43</v>
      </c>
      <c r="AC2" s="13" t="s">
        <v>25</v>
      </c>
      <c r="AD2" s="14" t="s">
        <v>26</v>
      </c>
      <c r="AE2" s="13" t="s">
        <v>27</v>
      </c>
      <c r="AF2" s="14" t="s">
        <v>28</v>
      </c>
      <c r="AG2" s="13" t="s">
        <v>30</v>
      </c>
      <c r="AH2" s="14" t="s">
        <v>32</v>
      </c>
      <c r="AI2" s="13" t="s">
        <v>33</v>
      </c>
      <c r="AJ2" s="14" t="s">
        <v>34</v>
      </c>
      <c r="AK2" s="12" t="s">
        <v>35</v>
      </c>
    </row>
    <row r="3" spans="1:40" ht="15.75" customHeight="1">
      <c r="A3" s="2" t="s">
        <v>44</v>
      </c>
      <c r="B3" s="5" t="s">
        <v>46</v>
      </c>
      <c r="C3" s="8" t="s">
        <v>45</v>
      </c>
      <c r="D3" s="5" t="s">
        <v>45</v>
      </c>
      <c r="E3" s="8" t="s">
        <v>45</v>
      </c>
      <c r="F3" s="5" t="s">
        <v>45</v>
      </c>
      <c r="G3" s="8" t="s">
        <v>46</v>
      </c>
      <c r="H3" s="5" t="s">
        <v>45</v>
      </c>
      <c r="I3" s="8" t="s">
        <v>46</v>
      </c>
      <c r="J3" s="5" t="s">
        <v>46</v>
      </c>
      <c r="K3" s="8" t="s">
        <v>45</v>
      </c>
      <c r="L3" s="5" t="s">
        <v>45</v>
      </c>
      <c r="M3" s="8" t="s">
        <v>45</v>
      </c>
      <c r="N3" s="5" t="s">
        <v>45</v>
      </c>
      <c r="O3" s="8" t="s">
        <v>46</v>
      </c>
      <c r="P3" s="5" t="s">
        <v>45</v>
      </c>
      <c r="Q3" s="8" t="s">
        <v>45</v>
      </c>
      <c r="R3" s="5" t="s">
        <v>45</v>
      </c>
      <c r="S3" s="8" t="s">
        <v>46</v>
      </c>
      <c r="T3" s="5" t="s">
        <v>46</v>
      </c>
      <c r="U3" s="8" t="s">
        <v>45</v>
      </c>
      <c r="V3" s="5" t="s">
        <v>45</v>
      </c>
      <c r="W3" s="8" t="s">
        <v>45</v>
      </c>
      <c r="X3" s="5" t="s">
        <v>45</v>
      </c>
      <c r="Y3" s="8" t="s">
        <v>45</v>
      </c>
      <c r="Z3" s="5" t="s">
        <v>45</v>
      </c>
      <c r="AA3" s="8" t="s">
        <v>45</v>
      </c>
      <c r="AB3" s="5" t="s">
        <v>46</v>
      </c>
      <c r="AC3" s="8" t="s">
        <v>45</v>
      </c>
      <c r="AD3" s="5" t="s">
        <v>45</v>
      </c>
      <c r="AE3" s="8" t="s">
        <v>45</v>
      </c>
      <c r="AF3" s="5" t="s">
        <v>45</v>
      </c>
      <c r="AG3" s="8" t="s">
        <v>45</v>
      </c>
      <c r="AH3" s="5" t="s">
        <v>45</v>
      </c>
      <c r="AI3" s="8" t="s">
        <v>45</v>
      </c>
      <c r="AJ3" s="5" t="s">
        <v>45</v>
      </c>
      <c r="AK3" s="8" t="s">
        <v>45</v>
      </c>
      <c r="AM3" s="17" t="s">
        <v>63</v>
      </c>
      <c r="AN3" s="17" t="s">
        <v>64</v>
      </c>
    </row>
    <row r="4" spans="1:40" ht="15.75" customHeight="1">
      <c r="A4" s="2" t="s">
        <v>47</v>
      </c>
      <c r="B4" s="6">
        <v>107.25</v>
      </c>
      <c r="C4" s="19">
        <v>68.11</v>
      </c>
      <c r="D4" s="20">
        <v>58.33</v>
      </c>
      <c r="E4" s="19">
        <v>55.84</v>
      </c>
      <c r="F4" s="20">
        <v>41.63</v>
      </c>
      <c r="G4" s="21">
        <v>110.73</v>
      </c>
      <c r="H4" s="20">
        <v>56.67</v>
      </c>
      <c r="I4" s="21">
        <v>57.87</v>
      </c>
      <c r="J4" s="22">
        <v>161.76</v>
      </c>
      <c r="K4" s="19">
        <v>151.38</v>
      </c>
      <c r="L4" s="20">
        <v>76.209999999999994</v>
      </c>
      <c r="M4" s="19">
        <v>97.32</v>
      </c>
      <c r="N4" s="20">
        <v>88.45</v>
      </c>
      <c r="O4" s="21">
        <v>71.849999999999994</v>
      </c>
      <c r="P4" s="20">
        <v>47.82</v>
      </c>
      <c r="Q4" s="19">
        <v>87.94</v>
      </c>
      <c r="R4" s="20">
        <v>99.97</v>
      </c>
      <c r="S4" s="21">
        <v>139.93</v>
      </c>
      <c r="T4" s="22">
        <v>75.900000000000006</v>
      </c>
      <c r="U4" s="19">
        <v>55.78</v>
      </c>
      <c r="V4" s="20">
        <v>85.24</v>
      </c>
      <c r="W4" s="19">
        <v>70.010000000000005</v>
      </c>
      <c r="X4" s="20">
        <v>61.08</v>
      </c>
      <c r="Y4" s="19">
        <v>98.31</v>
      </c>
      <c r="Z4" s="20">
        <v>72.900000000000006</v>
      </c>
      <c r="AA4" s="19">
        <v>58.09</v>
      </c>
      <c r="AB4" s="22">
        <v>66.69</v>
      </c>
      <c r="AC4" s="19">
        <v>87.31</v>
      </c>
      <c r="AD4" s="20">
        <v>62.82</v>
      </c>
      <c r="AE4" s="19">
        <v>91.25</v>
      </c>
      <c r="AF4" s="20">
        <v>82.09</v>
      </c>
      <c r="AG4" s="19">
        <v>94.07</v>
      </c>
      <c r="AH4" s="20">
        <v>51.91</v>
      </c>
      <c r="AI4" s="19">
        <v>54.49</v>
      </c>
      <c r="AJ4" s="20">
        <v>82.97</v>
      </c>
      <c r="AK4" s="19">
        <v>63.69</v>
      </c>
      <c r="AM4">
        <f>MAX(B4:AK4)</f>
        <v>161.76</v>
      </c>
      <c r="AN4">
        <f>MIN(B4:AK4)</f>
        <v>41.63</v>
      </c>
    </row>
    <row r="5" spans="1:40" ht="15.75" customHeight="1">
      <c r="A5" s="26" t="s">
        <v>61</v>
      </c>
      <c r="B5" s="22">
        <f>(B4-$AN$4)/($AM$4-$AN$4)</f>
        <v>0.54624157163073339</v>
      </c>
      <c r="C5" s="22">
        <f t="shared" ref="C5:AK5" si="0">(C4-$AN$4)/($AM$4-$AN$4)</f>
        <v>0.22042786980770829</v>
      </c>
      <c r="D5" s="22">
        <f t="shared" si="0"/>
        <v>0.13901606592857735</v>
      </c>
      <c r="E5" s="22">
        <f t="shared" si="0"/>
        <v>0.11828852076916675</v>
      </c>
      <c r="F5" s="22">
        <f t="shared" si="0"/>
        <v>0</v>
      </c>
      <c r="G5" s="22">
        <f t="shared" si="0"/>
        <v>0.57521018896195786</v>
      </c>
      <c r="H5" s="22">
        <f t="shared" si="0"/>
        <v>0.12519770248897027</v>
      </c>
      <c r="I5" s="22">
        <f t="shared" si="0"/>
        <v>0.13518688087904765</v>
      </c>
      <c r="J5" s="22">
        <f t="shared" si="0"/>
        <v>1</v>
      </c>
      <c r="K5" s="22">
        <f t="shared" si="0"/>
        <v>0.91359360692583036</v>
      </c>
      <c r="L5" s="22">
        <f t="shared" si="0"/>
        <v>0.28785482394073081</v>
      </c>
      <c r="M5" s="22">
        <f t="shared" si="0"/>
        <v>0.46358112045284267</v>
      </c>
      <c r="N5" s="22">
        <f t="shared" si="0"/>
        <v>0.38974444351952053</v>
      </c>
      <c r="O5" s="22">
        <f t="shared" si="0"/>
        <v>0.25156080912344952</v>
      </c>
      <c r="P5" s="22">
        <f t="shared" si="0"/>
        <v>5.1527511862149322E-2</v>
      </c>
      <c r="Q5" s="22">
        <f t="shared" si="0"/>
        <v>0.38549904270373758</v>
      </c>
      <c r="R5" s="22">
        <f t="shared" si="0"/>
        <v>0.48564055606426371</v>
      </c>
      <c r="S5" s="22">
        <f t="shared" si="0"/>
        <v>0.81828019645384176</v>
      </c>
      <c r="T5" s="22">
        <f t="shared" si="0"/>
        <v>0.28527428618996092</v>
      </c>
      <c r="U5" s="22">
        <f t="shared" si="0"/>
        <v>0.11778906184966285</v>
      </c>
      <c r="V5" s="22">
        <f t="shared" si="0"/>
        <v>0.36302339132606337</v>
      </c>
      <c r="W5" s="22">
        <f t="shared" si="0"/>
        <v>0.23624406892533092</v>
      </c>
      <c r="X5" s="22">
        <f t="shared" si="0"/>
        <v>0.16190793307250476</v>
      </c>
      <c r="Y5" s="22">
        <f t="shared" si="0"/>
        <v>0.47182219262465663</v>
      </c>
      <c r="Z5" s="22">
        <f t="shared" si="0"/>
        <v>0.26030134021476736</v>
      </c>
      <c r="AA5" s="22">
        <f t="shared" si="0"/>
        <v>0.1370182302505619</v>
      </c>
      <c r="AB5" s="22">
        <f t="shared" si="0"/>
        <v>0.20860734204611667</v>
      </c>
      <c r="AC5" s="22">
        <f t="shared" si="0"/>
        <v>0.380254724048947</v>
      </c>
      <c r="AD5" s="22">
        <f t="shared" si="0"/>
        <v>0.17639224173811702</v>
      </c>
      <c r="AE5" s="22">
        <f t="shared" si="0"/>
        <v>0.41305252642970114</v>
      </c>
      <c r="AF5" s="22">
        <f t="shared" si="0"/>
        <v>0.33680179805211025</v>
      </c>
      <c r="AG5" s="22">
        <f t="shared" si="0"/>
        <v>0.43652709564638303</v>
      </c>
      <c r="AH5" s="22">
        <f t="shared" si="0"/>
        <v>8.5573961541663149E-2</v>
      </c>
      <c r="AI5" s="22">
        <f t="shared" si="0"/>
        <v>0.10705069508032965</v>
      </c>
      <c r="AJ5" s="22">
        <f>(AJ4-$AN$4)/($AM$4-$AN$4)</f>
        <v>0.34412719553816695</v>
      </c>
      <c r="AK5" s="22">
        <f t="shared" si="0"/>
        <v>0.18363439607092313</v>
      </c>
    </row>
    <row r="6" spans="1:40" ht="15.75" customHeight="1">
      <c r="A6" s="3" t="s">
        <v>48</v>
      </c>
      <c r="B6" s="22">
        <v>0.5</v>
      </c>
      <c r="C6" s="21">
        <v>42.64</v>
      </c>
      <c r="D6" s="22">
        <v>1.26</v>
      </c>
      <c r="E6" s="21">
        <v>26.5</v>
      </c>
      <c r="F6" s="22">
        <v>71.95</v>
      </c>
      <c r="G6" s="21">
        <v>1.82</v>
      </c>
      <c r="H6" s="22">
        <v>21.34</v>
      </c>
      <c r="I6" s="21">
        <v>0.93</v>
      </c>
      <c r="J6" s="22">
        <v>35.29</v>
      </c>
      <c r="K6" s="21">
        <v>2.42</v>
      </c>
      <c r="L6" s="22">
        <v>64.86</v>
      </c>
      <c r="M6" s="21">
        <v>35.700000000000003</v>
      </c>
      <c r="N6" s="22">
        <v>8.9</v>
      </c>
      <c r="O6" s="21">
        <v>11.77</v>
      </c>
      <c r="P6" s="22">
        <v>24.8</v>
      </c>
      <c r="Q6" s="21">
        <v>68.739999999999995</v>
      </c>
      <c r="R6" s="22">
        <v>41.38</v>
      </c>
      <c r="S6" s="21">
        <v>0.53</v>
      </c>
      <c r="T6" s="22">
        <v>7.0000000000000007E-2</v>
      </c>
      <c r="U6" s="21">
        <v>59.65</v>
      </c>
      <c r="V6" s="22">
        <v>123.27</v>
      </c>
      <c r="W6" s="21">
        <v>2.4500000000000002</v>
      </c>
      <c r="X6" s="22">
        <v>2.63</v>
      </c>
      <c r="Y6" s="21">
        <v>1.38</v>
      </c>
      <c r="Z6" s="22">
        <v>1.71</v>
      </c>
      <c r="AA6" s="21">
        <v>35.1</v>
      </c>
      <c r="AB6" s="22">
        <v>1.17</v>
      </c>
      <c r="AC6" s="21">
        <v>32.54</v>
      </c>
      <c r="AD6" s="22">
        <v>65</v>
      </c>
      <c r="AE6" s="21">
        <v>0.78</v>
      </c>
      <c r="AF6" s="22">
        <v>76.56</v>
      </c>
      <c r="AG6" s="21">
        <v>40.29</v>
      </c>
      <c r="AH6" s="22">
        <v>3.28</v>
      </c>
      <c r="AI6" s="21">
        <v>165.62</v>
      </c>
      <c r="AJ6" s="22">
        <v>12.16</v>
      </c>
      <c r="AK6" s="21">
        <v>78.73</v>
      </c>
      <c r="AM6" s="25">
        <f>MAX(B6:AK6)</f>
        <v>165.62</v>
      </c>
      <c r="AN6" s="25">
        <f>MIN(B6:AK6)</f>
        <v>7.0000000000000007E-2</v>
      </c>
    </row>
    <row r="7" spans="1:40" ht="15.75" customHeight="1">
      <c r="A7" s="26" t="s">
        <v>61</v>
      </c>
      <c r="B7" s="22">
        <f>(B6-$AN$6)/($AM$6-$AN$6)</f>
        <v>2.5974025974025974E-3</v>
      </c>
      <c r="C7" s="22">
        <f t="shared" ref="C7:AJ7" si="1">(C6-$AN$6)/($AM$6-$AN$6)</f>
        <v>0.25714285714285712</v>
      </c>
      <c r="D7" s="22">
        <f t="shared" si="1"/>
        <v>7.1881606765327689E-3</v>
      </c>
      <c r="E7" s="22">
        <f t="shared" si="1"/>
        <v>0.15964965267290848</v>
      </c>
      <c r="F7" s="22">
        <f t="shared" si="1"/>
        <v>0.43418906674720631</v>
      </c>
      <c r="G7" s="22">
        <f t="shared" si="1"/>
        <v>1.0570824524312896E-2</v>
      </c>
      <c r="H7" s="22">
        <f t="shared" si="1"/>
        <v>0.1284808215040773</v>
      </c>
      <c r="I7" s="22">
        <f t="shared" si="1"/>
        <v>5.1948051948051948E-3</v>
      </c>
      <c r="J7" s="22">
        <f t="shared" si="1"/>
        <v>0.21274539414074295</v>
      </c>
      <c r="K7" s="22">
        <f t="shared" si="1"/>
        <v>1.4195107218363033E-2</v>
      </c>
      <c r="L7" s="22">
        <f t="shared" si="1"/>
        <v>0.39136212624584721</v>
      </c>
      <c r="M7" s="22">
        <f t="shared" si="1"/>
        <v>0.21522198731501058</v>
      </c>
      <c r="N7" s="22">
        <f t="shared" si="1"/>
        <v>5.33373603141045E-2</v>
      </c>
      <c r="O7" s="22">
        <f t="shared" si="1"/>
        <v>7.0673512533977648E-2</v>
      </c>
      <c r="P7" s="22">
        <f t="shared" si="1"/>
        <v>0.14938085170643309</v>
      </c>
      <c r="Q7" s="22">
        <f t="shared" si="1"/>
        <v>0.41479915433403802</v>
      </c>
      <c r="R7" s="22">
        <f t="shared" si="1"/>
        <v>0.24953186348535186</v>
      </c>
      <c r="S7" s="22">
        <f t="shared" si="1"/>
        <v>2.7786167321051042E-3</v>
      </c>
      <c r="T7" s="22">
        <f t="shared" si="1"/>
        <v>0</v>
      </c>
      <c r="U7" s="22">
        <f t="shared" si="1"/>
        <v>0.35989127151917844</v>
      </c>
      <c r="V7" s="22">
        <f t="shared" si="1"/>
        <v>0.7441860465116279</v>
      </c>
      <c r="W7" s="22">
        <f t="shared" si="1"/>
        <v>1.437632135306554E-2</v>
      </c>
      <c r="X7" s="22">
        <f t="shared" si="1"/>
        <v>1.5463606161280579E-2</v>
      </c>
      <c r="Y7" s="22">
        <f t="shared" si="1"/>
        <v>7.9130172153427953E-3</v>
      </c>
      <c r="Z7" s="22">
        <f t="shared" si="1"/>
        <v>9.9063726970703703E-3</v>
      </c>
      <c r="AA7" s="22">
        <f t="shared" si="1"/>
        <v>0.21159770462096042</v>
      </c>
      <c r="AB7" s="22">
        <f t="shared" si="1"/>
        <v>6.6445182724252476E-3</v>
      </c>
      <c r="AC7" s="22">
        <f t="shared" si="1"/>
        <v>0.19613409845967983</v>
      </c>
      <c r="AD7" s="22">
        <f t="shared" si="1"/>
        <v>0.39220779220779223</v>
      </c>
      <c r="AE7" s="22">
        <f t="shared" si="1"/>
        <v>4.2887345212926607E-3</v>
      </c>
      <c r="AF7" s="22">
        <f t="shared" si="1"/>
        <v>0.46203563877982484</v>
      </c>
      <c r="AG7" s="22">
        <f t="shared" si="1"/>
        <v>0.24294774992449408</v>
      </c>
      <c r="AH7" s="22">
        <f t="shared" si="1"/>
        <v>1.9389912413168224E-2</v>
      </c>
      <c r="AI7" s="22">
        <f t="shared" si="1"/>
        <v>1</v>
      </c>
      <c r="AJ7" s="22">
        <f t="shared" si="1"/>
        <v>7.3029296285110235E-2</v>
      </c>
      <c r="AK7" s="22">
        <f>(AK6-$AN$6)/($AM$6-$AN$6)</f>
        <v>0.47514346118997286</v>
      </c>
    </row>
    <row r="8" spans="1:40" ht="15.75" customHeight="1">
      <c r="A8" s="2" t="s">
        <v>49</v>
      </c>
      <c r="B8" s="22">
        <v>0.37</v>
      </c>
      <c r="C8" s="21">
        <v>35.520000000000003</v>
      </c>
      <c r="D8" s="22">
        <v>0.92</v>
      </c>
      <c r="E8" s="21">
        <v>20.11</v>
      </c>
      <c r="F8" s="22">
        <v>53.21</v>
      </c>
      <c r="G8" s="21">
        <v>1.37</v>
      </c>
      <c r="H8" s="22">
        <v>17.3</v>
      </c>
      <c r="I8" s="21">
        <v>0.83</v>
      </c>
      <c r="J8" s="22">
        <v>32.39</v>
      </c>
      <c r="K8" s="21">
        <v>2.39</v>
      </c>
      <c r="L8" s="22">
        <v>55.22</v>
      </c>
      <c r="M8" s="21">
        <v>28.37</v>
      </c>
      <c r="N8" s="22">
        <v>6.6</v>
      </c>
      <c r="O8" s="21">
        <v>9.77</v>
      </c>
      <c r="P8" s="22">
        <v>19.079999999999998</v>
      </c>
      <c r="Q8" s="21">
        <v>56.56</v>
      </c>
      <c r="R8" s="22">
        <v>35.24</v>
      </c>
      <c r="S8" s="21">
        <v>0.42</v>
      </c>
      <c r="T8" s="22">
        <v>0.03</v>
      </c>
      <c r="U8" s="21">
        <v>48.83</v>
      </c>
      <c r="V8" s="22">
        <v>107.56</v>
      </c>
      <c r="W8" s="21">
        <v>2.2799999999999998</v>
      </c>
      <c r="X8" s="22">
        <v>2.0699999999999998</v>
      </c>
      <c r="Y8" s="21">
        <v>1.23</v>
      </c>
      <c r="Z8" s="22">
        <v>1.64</v>
      </c>
      <c r="AA8" s="21">
        <v>25.58</v>
      </c>
      <c r="AB8" s="22">
        <v>1.07</v>
      </c>
      <c r="AC8" s="21">
        <v>26.72</v>
      </c>
      <c r="AD8" s="22">
        <v>51.06</v>
      </c>
      <c r="AE8" s="21">
        <v>0.64</v>
      </c>
      <c r="AF8" s="22">
        <v>62.08</v>
      </c>
      <c r="AG8" s="21">
        <v>35.58</v>
      </c>
      <c r="AH8" s="22">
        <v>2.16</v>
      </c>
      <c r="AI8" s="21">
        <v>127.35</v>
      </c>
      <c r="AJ8" s="22">
        <v>9.69</v>
      </c>
      <c r="AK8" s="21">
        <v>62.89</v>
      </c>
      <c r="AM8">
        <f>MAX(B8:AK8)</f>
        <v>127.35</v>
      </c>
      <c r="AN8">
        <f>MIN(B8:AK8)</f>
        <v>0.03</v>
      </c>
    </row>
    <row r="9" spans="1:40" ht="15.75" customHeight="1">
      <c r="A9" s="26" t="s">
        <v>61</v>
      </c>
      <c r="B9" s="22">
        <f>(B8-$AN$8)/($AM$8-$AN$8)</f>
        <v>2.6704366949418788E-3</v>
      </c>
      <c r="C9" s="22">
        <f t="shared" ref="C9:AK9" si="2">(C8-$AN$8)/($AM$8-$AN$8)</f>
        <v>0.27874646559849203</v>
      </c>
      <c r="D9" s="22">
        <f t="shared" si="2"/>
        <v>6.9902607602890356E-3</v>
      </c>
      <c r="E9" s="22">
        <f t="shared" si="2"/>
        <v>0.15771284951303802</v>
      </c>
      <c r="F9" s="22">
        <f t="shared" si="2"/>
        <v>0.4176877159912033</v>
      </c>
      <c r="G9" s="22">
        <f t="shared" si="2"/>
        <v>1.0524662268300346E-2</v>
      </c>
      <c r="H9" s="22">
        <f t="shared" si="2"/>
        <v>0.13564247565190074</v>
      </c>
      <c r="I9" s="22">
        <f t="shared" si="2"/>
        <v>6.2833804586867733E-3</v>
      </c>
      <c r="J9" s="22">
        <f t="shared" si="2"/>
        <v>0.25416273955388002</v>
      </c>
      <c r="K9" s="22">
        <f t="shared" si="2"/>
        <v>1.8535972353125985E-2</v>
      </c>
      <c r="L9" s="22">
        <f t="shared" si="2"/>
        <v>0.43347470939365379</v>
      </c>
      <c r="M9" s="22">
        <f t="shared" si="2"/>
        <v>0.22258875274897896</v>
      </c>
      <c r="N9" s="22">
        <f t="shared" si="2"/>
        <v>5.1602262016965127E-2</v>
      </c>
      <c r="O9" s="22">
        <f t="shared" si="2"/>
        <v>7.6500157084511466E-2</v>
      </c>
      <c r="P9" s="22">
        <f t="shared" si="2"/>
        <v>0.14962299717247879</v>
      </c>
      <c r="Q9" s="22">
        <f t="shared" si="2"/>
        <v>0.44399937166195419</v>
      </c>
      <c r="R9" s="22">
        <f t="shared" si="2"/>
        <v>0.27654728243795162</v>
      </c>
      <c r="S9" s="22">
        <f t="shared" si="2"/>
        <v>3.0631479736098022E-3</v>
      </c>
      <c r="T9" s="22">
        <f t="shared" si="2"/>
        <v>0</v>
      </c>
      <c r="U9" s="22">
        <f t="shared" si="2"/>
        <v>0.38328620797989316</v>
      </c>
      <c r="V9" s="22">
        <f t="shared" si="2"/>
        <v>0.84456487590323603</v>
      </c>
      <c r="W9" s="22">
        <f t="shared" si="2"/>
        <v>1.7672007540056552E-2</v>
      </c>
      <c r="X9" s="22">
        <f t="shared" si="2"/>
        <v>1.6022620169651274E-2</v>
      </c>
      <c r="Y9" s="22">
        <f t="shared" si="2"/>
        <v>9.4250706880301596E-3</v>
      </c>
      <c r="Z9" s="22">
        <f t="shared" si="2"/>
        <v>1.2645303173107131E-2</v>
      </c>
      <c r="AA9" s="22">
        <f t="shared" si="2"/>
        <v>0.20067546339930881</v>
      </c>
      <c r="AB9" s="22">
        <f t="shared" si="2"/>
        <v>8.1683945962928058E-3</v>
      </c>
      <c r="AC9" s="22">
        <f t="shared" si="2"/>
        <v>0.20962928055293747</v>
      </c>
      <c r="AD9" s="22">
        <f t="shared" si="2"/>
        <v>0.40080113100848258</v>
      </c>
      <c r="AE9" s="22">
        <f t="shared" si="2"/>
        <v>4.7910775997486652E-3</v>
      </c>
      <c r="AF9" s="22">
        <f t="shared" si="2"/>
        <v>0.48735469682689286</v>
      </c>
      <c r="AG9" s="22">
        <f t="shared" si="2"/>
        <v>0.2792177191328935</v>
      </c>
      <c r="AH9" s="22">
        <f t="shared" si="2"/>
        <v>1.6729500471253538E-2</v>
      </c>
      <c r="AI9" s="22">
        <f t="shared" si="2"/>
        <v>1</v>
      </c>
      <c r="AJ9" s="22">
        <f t="shared" si="2"/>
        <v>7.587181903864279E-2</v>
      </c>
      <c r="AK9" s="22">
        <f t="shared" si="2"/>
        <v>0.49371661954131324</v>
      </c>
    </row>
    <row r="10" spans="1:40" ht="15.75" customHeight="1">
      <c r="A10" s="2" t="s">
        <v>50</v>
      </c>
      <c r="B10" s="10">
        <v>1</v>
      </c>
      <c r="C10" s="9">
        <v>278</v>
      </c>
      <c r="D10" s="10">
        <v>0</v>
      </c>
      <c r="E10" s="9">
        <v>11</v>
      </c>
      <c r="F10" s="10">
        <v>61</v>
      </c>
      <c r="G10" s="9">
        <v>70</v>
      </c>
      <c r="H10" s="10">
        <v>2</v>
      </c>
      <c r="I10" s="9">
        <v>5</v>
      </c>
      <c r="J10" s="10">
        <v>15</v>
      </c>
      <c r="K10" s="9">
        <v>6</v>
      </c>
      <c r="L10" s="10">
        <v>239</v>
      </c>
      <c r="M10" s="9">
        <v>83</v>
      </c>
      <c r="N10" s="10">
        <v>15</v>
      </c>
      <c r="O10" s="9">
        <v>11</v>
      </c>
      <c r="P10" s="10">
        <v>31</v>
      </c>
      <c r="Q10" s="9">
        <v>206</v>
      </c>
      <c r="R10" s="10">
        <v>141</v>
      </c>
      <c r="S10" s="9">
        <v>0</v>
      </c>
      <c r="T10" s="10">
        <v>0</v>
      </c>
      <c r="U10" s="9">
        <v>175</v>
      </c>
      <c r="V10" s="10">
        <v>398</v>
      </c>
      <c r="W10" s="9">
        <v>7</v>
      </c>
      <c r="X10" s="10">
        <v>1</v>
      </c>
      <c r="Y10" s="9">
        <v>1</v>
      </c>
      <c r="Z10" s="10">
        <v>0</v>
      </c>
      <c r="AA10" s="9">
        <v>86</v>
      </c>
      <c r="AB10" s="10">
        <v>14</v>
      </c>
      <c r="AC10" s="9">
        <v>83</v>
      </c>
      <c r="AD10" s="10">
        <v>89</v>
      </c>
      <c r="AE10" s="9">
        <v>3</v>
      </c>
      <c r="AF10" s="10">
        <v>462</v>
      </c>
      <c r="AG10" s="9">
        <v>186</v>
      </c>
      <c r="AH10" s="10">
        <v>7</v>
      </c>
      <c r="AI10" s="9">
        <v>198</v>
      </c>
      <c r="AJ10" s="10">
        <v>31</v>
      </c>
      <c r="AK10" s="9">
        <v>78</v>
      </c>
      <c r="AM10">
        <f>MAX(B10:AK10)</f>
        <v>462</v>
      </c>
      <c r="AN10">
        <f>MIN(B10:AK10)</f>
        <v>0</v>
      </c>
    </row>
    <row r="11" spans="1:40" ht="15.75" customHeight="1">
      <c r="A11" s="26" t="s">
        <v>61</v>
      </c>
      <c r="B11" s="22">
        <f>(B10-$AN$10)/($AM$10-$AN$10)</f>
        <v>2.1645021645021645E-3</v>
      </c>
      <c r="C11" s="22">
        <f t="shared" ref="C11:AK11" si="3">(C10-$AN$10)/($AM$10-$AN$10)</f>
        <v>0.60173160173160178</v>
      </c>
      <c r="D11" s="22">
        <f t="shared" si="3"/>
        <v>0</v>
      </c>
      <c r="E11" s="22">
        <f t="shared" si="3"/>
        <v>2.3809523809523808E-2</v>
      </c>
      <c r="F11" s="22">
        <f t="shared" si="3"/>
        <v>0.13203463203463203</v>
      </c>
      <c r="G11" s="22">
        <f t="shared" si="3"/>
        <v>0.15151515151515152</v>
      </c>
      <c r="H11" s="22">
        <f t="shared" si="3"/>
        <v>4.329004329004329E-3</v>
      </c>
      <c r="I11" s="22">
        <f t="shared" si="3"/>
        <v>1.0822510822510822E-2</v>
      </c>
      <c r="J11" s="22">
        <f t="shared" si="3"/>
        <v>3.2467532467532464E-2</v>
      </c>
      <c r="K11" s="22">
        <f t="shared" si="3"/>
        <v>1.2987012987012988E-2</v>
      </c>
      <c r="L11" s="22">
        <f t="shared" si="3"/>
        <v>0.51731601731601728</v>
      </c>
      <c r="M11" s="22">
        <f t="shared" si="3"/>
        <v>0.17965367965367965</v>
      </c>
      <c r="N11" s="22">
        <f t="shared" si="3"/>
        <v>3.2467532467532464E-2</v>
      </c>
      <c r="O11" s="22">
        <f t="shared" si="3"/>
        <v>2.3809523809523808E-2</v>
      </c>
      <c r="P11" s="22">
        <f t="shared" si="3"/>
        <v>6.7099567099567103E-2</v>
      </c>
      <c r="Q11" s="22">
        <f t="shared" si="3"/>
        <v>0.44588744588744589</v>
      </c>
      <c r="R11" s="22">
        <f t="shared" si="3"/>
        <v>0.30519480519480519</v>
      </c>
      <c r="S11" s="22">
        <f t="shared" si="3"/>
        <v>0</v>
      </c>
      <c r="T11" s="22">
        <f t="shared" si="3"/>
        <v>0</v>
      </c>
      <c r="U11" s="22">
        <f t="shared" si="3"/>
        <v>0.37878787878787878</v>
      </c>
      <c r="V11" s="22">
        <f t="shared" si="3"/>
        <v>0.8614718614718615</v>
      </c>
      <c r="W11" s="22">
        <f t="shared" si="3"/>
        <v>1.5151515151515152E-2</v>
      </c>
      <c r="X11" s="22">
        <f t="shared" si="3"/>
        <v>2.1645021645021645E-3</v>
      </c>
      <c r="Y11" s="22">
        <f t="shared" si="3"/>
        <v>2.1645021645021645E-3</v>
      </c>
      <c r="Z11" s="22">
        <f t="shared" si="3"/>
        <v>0</v>
      </c>
      <c r="AA11" s="22">
        <f t="shared" si="3"/>
        <v>0.18614718614718614</v>
      </c>
      <c r="AB11" s="22">
        <f t="shared" si="3"/>
        <v>3.0303030303030304E-2</v>
      </c>
      <c r="AC11" s="22">
        <f t="shared" si="3"/>
        <v>0.17965367965367965</v>
      </c>
      <c r="AD11" s="22">
        <f t="shared" si="3"/>
        <v>0.19264069264069264</v>
      </c>
      <c r="AE11" s="22">
        <f t="shared" si="3"/>
        <v>6.4935064935064939E-3</v>
      </c>
      <c r="AF11" s="22">
        <f t="shared" si="3"/>
        <v>1</v>
      </c>
      <c r="AG11" s="22">
        <f t="shared" si="3"/>
        <v>0.40259740259740262</v>
      </c>
      <c r="AH11" s="22">
        <f t="shared" si="3"/>
        <v>1.5151515151515152E-2</v>
      </c>
      <c r="AI11" s="22">
        <f t="shared" si="3"/>
        <v>0.42857142857142855</v>
      </c>
      <c r="AJ11" s="22">
        <f t="shared" si="3"/>
        <v>6.7099567099567103E-2</v>
      </c>
      <c r="AK11" s="22">
        <f t="shared" si="3"/>
        <v>0.16883116883116883</v>
      </c>
    </row>
    <row r="12" spans="1:40" ht="15.75" customHeight="1">
      <c r="A12" s="2" t="s">
        <v>51</v>
      </c>
      <c r="B12" s="10">
        <v>0</v>
      </c>
      <c r="C12" s="9">
        <v>12</v>
      </c>
      <c r="D12" s="10">
        <v>2</v>
      </c>
      <c r="E12" s="9">
        <v>7</v>
      </c>
      <c r="F12" s="10">
        <v>3</v>
      </c>
      <c r="G12" s="9">
        <v>1</v>
      </c>
      <c r="H12" s="10">
        <v>4</v>
      </c>
      <c r="I12" s="9">
        <v>0</v>
      </c>
      <c r="J12" s="10">
        <v>8</v>
      </c>
      <c r="K12" s="9">
        <v>2</v>
      </c>
      <c r="L12" s="10">
        <v>15</v>
      </c>
      <c r="M12" s="9">
        <v>8</v>
      </c>
      <c r="N12" s="10">
        <v>7</v>
      </c>
      <c r="O12" s="9">
        <v>2</v>
      </c>
      <c r="P12" s="10">
        <v>6</v>
      </c>
      <c r="Q12" s="9">
        <v>7</v>
      </c>
      <c r="R12" s="10">
        <v>5</v>
      </c>
      <c r="S12" s="9">
        <v>0</v>
      </c>
      <c r="T12" s="10">
        <v>0</v>
      </c>
      <c r="U12" s="9">
        <v>10</v>
      </c>
      <c r="V12" s="10">
        <v>8</v>
      </c>
      <c r="W12" s="9">
        <v>3</v>
      </c>
      <c r="X12" s="10">
        <v>2</v>
      </c>
      <c r="Y12" s="9">
        <v>1</v>
      </c>
      <c r="Z12" s="10">
        <v>1</v>
      </c>
      <c r="AA12" s="9">
        <v>8</v>
      </c>
      <c r="AB12" s="10">
        <v>1</v>
      </c>
      <c r="AC12" s="9">
        <v>8</v>
      </c>
      <c r="AD12" s="10">
        <v>11</v>
      </c>
      <c r="AE12" s="9">
        <v>1</v>
      </c>
      <c r="AF12" s="10">
        <v>17</v>
      </c>
      <c r="AG12" s="9">
        <v>5</v>
      </c>
      <c r="AH12" s="10">
        <v>2</v>
      </c>
      <c r="AI12" s="9">
        <v>14</v>
      </c>
      <c r="AJ12" s="10">
        <v>5</v>
      </c>
      <c r="AK12" s="9">
        <v>6</v>
      </c>
      <c r="AM12">
        <f>MAX(B12:AK12)</f>
        <v>17</v>
      </c>
      <c r="AN12">
        <f>MIN(B12:AK12)</f>
        <v>0</v>
      </c>
    </row>
    <row r="13" spans="1:40" ht="15.75" customHeight="1">
      <c r="A13" s="26" t="s">
        <v>61</v>
      </c>
      <c r="B13" s="22">
        <f>(B12-$AN$12)/($AM$12-$AN$12)</f>
        <v>0</v>
      </c>
      <c r="C13" s="22">
        <f t="shared" ref="C13:AK13" si="4">(C12-$AN$12)/($AM$12-$AN$12)</f>
        <v>0.70588235294117652</v>
      </c>
      <c r="D13" s="22">
        <f t="shared" si="4"/>
        <v>0.11764705882352941</v>
      </c>
      <c r="E13" s="22">
        <f t="shared" si="4"/>
        <v>0.41176470588235292</v>
      </c>
      <c r="F13" s="22">
        <f t="shared" si="4"/>
        <v>0.17647058823529413</v>
      </c>
      <c r="G13" s="22">
        <f t="shared" si="4"/>
        <v>5.8823529411764705E-2</v>
      </c>
      <c r="H13" s="22">
        <f t="shared" si="4"/>
        <v>0.23529411764705882</v>
      </c>
      <c r="I13" s="22">
        <f t="shared" si="4"/>
        <v>0</v>
      </c>
      <c r="J13" s="22">
        <f t="shared" si="4"/>
        <v>0.47058823529411764</v>
      </c>
      <c r="K13" s="22">
        <f t="shared" si="4"/>
        <v>0.11764705882352941</v>
      </c>
      <c r="L13" s="22">
        <f t="shared" si="4"/>
        <v>0.88235294117647056</v>
      </c>
      <c r="M13" s="22">
        <f t="shared" si="4"/>
        <v>0.47058823529411764</v>
      </c>
      <c r="N13" s="22">
        <f t="shared" si="4"/>
        <v>0.41176470588235292</v>
      </c>
      <c r="O13" s="22">
        <f t="shared" si="4"/>
        <v>0.11764705882352941</v>
      </c>
      <c r="P13" s="22">
        <f t="shared" si="4"/>
        <v>0.35294117647058826</v>
      </c>
      <c r="Q13" s="22">
        <f t="shared" si="4"/>
        <v>0.41176470588235292</v>
      </c>
      <c r="R13" s="22">
        <f t="shared" si="4"/>
        <v>0.29411764705882354</v>
      </c>
      <c r="S13" s="22">
        <f t="shared" si="4"/>
        <v>0</v>
      </c>
      <c r="T13" s="22">
        <f t="shared" si="4"/>
        <v>0</v>
      </c>
      <c r="U13" s="22">
        <f t="shared" si="4"/>
        <v>0.58823529411764708</v>
      </c>
      <c r="V13" s="22">
        <f t="shared" si="4"/>
        <v>0.47058823529411764</v>
      </c>
      <c r="W13" s="22">
        <f t="shared" si="4"/>
        <v>0.17647058823529413</v>
      </c>
      <c r="X13" s="22">
        <f t="shared" si="4"/>
        <v>0.11764705882352941</v>
      </c>
      <c r="Y13" s="22">
        <f t="shared" si="4"/>
        <v>5.8823529411764705E-2</v>
      </c>
      <c r="Z13" s="22">
        <f t="shared" si="4"/>
        <v>5.8823529411764705E-2</v>
      </c>
      <c r="AA13" s="22">
        <f t="shared" si="4"/>
        <v>0.47058823529411764</v>
      </c>
      <c r="AB13" s="22">
        <f t="shared" si="4"/>
        <v>5.8823529411764705E-2</v>
      </c>
      <c r="AC13" s="22">
        <f t="shared" si="4"/>
        <v>0.47058823529411764</v>
      </c>
      <c r="AD13" s="22">
        <f t="shared" si="4"/>
        <v>0.6470588235294118</v>
      </c>
      <c r="AE13" s="22">
        <f t="shared" si="4"/>
        <v>5.8823529411764705E-2</v>
      </c>
      <c r="AF13" s="22">
        <f t="shared" si="4"/>
        <v>1</v>
      </c>
      <c r="AG13" s="22">
        <f t="shared" si="4"/>
        <v>0.29411764705882354</v>
      </c>
      <c r="AH13" s="22">
        <f t="shared" si="4"/>
        <v>0.11764705882352941</v>
      </c>
      <c r="AI13" s="22">
        <f t="shared" si="4"/>
        <v>0.82352941176470584</v>
      </c>
      <c r="AJ13" s="22">
        <f t="shared" si="4"/>
        <v>0.29411764705882354</v>
      </c>
      <c r="AK13" s="22">
        <f t="shared" si="4"/>
        <v>0.35294117647058826</v>
      </c>
    </row>
    <row r="14" spans="1:40" ht="15.75" customHeight="1">
      <c r="A14" s="2" t="s">
        <v>52</v>
      </c>
      <c r="B14" s="10">
        <v>31.03</v>
      </c>
      <c r="C14" s="9">
        <v>24.066666666666666</v>
      </c>
      <c r="D14" s="10">
        <v>24.766666666666666</v>
      </c>
      <c r="E14" s="9">
        <v>11.011111111111111</v>
      </c>
      <c r="F14" s="10">
        <v>11.322222222222221</v>
      </c>
      <c r="G14" s="9">
        <v>38.70000000000001</v>
      </c>
      <c r="H14" s="10">
        <v>12.866666666666667</v>
      </c>
      <c r="I14" s="9">
        <v>15.888888888888889</v>
      </c>
      <c r="J14" s="10">
        <v>34.340000000000003</v>
      </c>
      <c r="K14" s="9">
        <v>42</v>
      </c>
      <c r="L14" s="10">
        <v>23.988888888888891</v>
      </c>
      <c r="M14" s="9">
        <v>24.111111111111111</v>
      </c>
      <c r="N14" s="10">
        <v>37.63333333333334</v>
      </c>
      <c r="O14" s="9">
        <v>23.333333333333336</v>
      </c>
      <c r="P14" s="10">
        <v>13.255555555555555</v>
      </c>
      <c r="Q14" s="9">
        <v>34.811111111111103</v>
      </c>
      <c r="R14" s="10">
        <v>59.777777777777779</v>
      </c>
      <c r="S14" s="9">
        <v>40.466666666666669</v>
      </c>
      <c r="T14" s="10">
        <v>35.81111111111111</v>
      </c>
      <c r="U14" s="9">
        <v>11.333333333333332</v>
      </c>
      <c r="V14" s="10">
        <v>29.94444444444445</v>
      </c>
      <c r="W14" s="9">
        <v>28.533333333333335</v>
      </c>
      <c r="X14" s="10">
        <v>17.233333333333334</v>
      </c>
      <c r="Y14" s="9">
        <v>34.255555555555553</v>
      </c>
      <c r="Z14" s="10">
        <v>28.644444444444446</v>
      </c>
      <c r="AA14" s="9">
        <v>15.155555555555553</v>
      </c>
      <c r="AB14" s="10">
        <v>46.111111111111114</v>
      </c>
      <c r="AC14" s="9">
        <v>27.855555555555554</v>
      </c>
      <c r="AD14" s="10">
        <v>15.511111111111111</v>
      </c>
      <c r="AE14" s="9">
        <v>44.822222222222223</v>
      </c>
      <c r="AF14" s="10">
        <v>43.611111111111114</v>
      </c>
      <c r="AG14" s="9">
        <v>29.188888888888886</v>
      </c>
      <c r="AH14" s="10">
        <v>14.922222222222221</v>
      </c>
      <c r="AI14" s="9">
        <v>11</v>
      </c>
      <c r="AJ14" s="10">
        <v>22.511111111111109</v>
      </c>
      <c r="AK14" s="9">
        <v>19.044444444444444</v>
      </c>
      <c r="AM14">
        <f>MAX(B14:AK14)</f>
        <v>59.777777777777779</v>
      </c>
      <c r="AN14">
        <f>MIN(B14:AK14)</f>
        <v>11</v>
      </c>
    </row>
    <row r="15" spans="1:40" ht="15.75" customHeight="1">
      <c r="A15" s="26" t="s">
        <v>61</v>
      </c>
      <c r="B15" s="22">
        <f>(B14-$AN$14)/($AM$14-$AN$14)</f>
        <v>0.41063781321184512</v>
      </c>
      <c r="C15" s="22">
        <f t="shared" ref="C15:AK15" si="5">(C14-$AN$14)/($AM$14-$AN$14)</f>
        <v>0.26788154897494304</v>
      </c>
      <c r="D15" s="22">
        <f t="shared" si="5"/>
        <v>0.28223234624145782</v>
      </c>
      <c r="E15" s="22">
        <f t="shared" si="5"/>
        <v>2.2779043280182152E-4</v>
      </c>
      <c r="F15" s="22">
        <f t="shared" si="5"/>
        <v>6.605922551252824E-3</v>
      </c>
      <c r="G15" s="22">
        <f t="shared" si="5"/>
        <v>0.56788154897494325</v>
      </c>
      <c r="H15" s="22">
        <f t="shared" si="5"/>
        <v>3.8268792710706157E-2</v>
      </c>
      <c r="I15" s="22">
        <f t="shared" si="5"/>
        <v>0.10022779043280183</v>
      </c>
      <c r="J15" s="22">
        <f t="shared" si="5"/>
        <v>0.47849658314350801</v>
      </c>
      <c r="K15" s="22">
        <f t="shared" si="5"/>
        <v>0.63553530751708431</v>
      </c>
      <c r="L15" s="22">
        <f t="shared" si="5"/>
        <v>0.26628701594533033</v>
      </c>
      <c r="M15" s="22">
        <f t="shared" si="5"/>
        <v>0.26879271070615035</v>
      </c>
      <c r="N15" s="22">
        <f t="shared" si="5"/>
        <v>0.54601366742596824</v>
      </c>
      <c r="O15" s="22">
        <f t="shared" si="5"/>
        <v>0.2528473804100228</v>
      </c>
      <c r="P15" s="22">
        <f t="shared" si="5"/>
        <v>4.6241457858769909E-2</v>
      </c>
      <c r="Q15" s="22">
        <f t="shared" si="5"/>
        <v>0.48815489749430507</v>
      </c>
      <c r="R15" s="22">
        <f t="shared" si="5"/>
        <v>1</v>
      </c>
      <c r="S15" s="22">
        <f t="shared" si="5"/>
        <v>0.60410022779043282</v>
      </c>
      <c r="T15" s="22">
        <f t="shared" si="5"/>
        <v>0.50865603644646917</v>
      </c>
      <c r="U15" s="22">
        <f t="shared" si="5"/>
        <v>6.8337129840546455E-3</v>
      </c>
      <c r="V15" s="22">
        <f t="shared" si="5"/>
        <v>0.38838268792710717</v>
      </c>
      <c r="W15" s="22">
        <f t="shared" si="5"/>
        <v>0.35945330296127564</v>
      </c>
      <c r="X15" s="22">
        <f t="shared" si="5"/>
        <v>0.12779043280182234</v>
      </c>
      <c r="Y15" s="22">
        <f t="shared" si="5"/>
        <v>0.47676537585421408</v>
      </c>
      <c r="Z15" s="22">
        <f t="shared" si="5"/>
        <v>0.36173120728929387</v>
      </c>
      <c r="AA15" s="22">
        <f t="shared" si="5"/>
        <v>8.51936218678815E-2</v>
      </c>
      <c r="AB15" s="22">
        <f t="shared" si="5"/>
        <v>0.7198177676537586</v>
      </c>
      <c r="AC15" s="22">
        <f t="shared" si="5"/>
        <v>0.34555808656036441</v>
      </c>
      <c r="AD15" s="22">
        <f t="shared" si="5"/>
        <v>9.248291571753986E-2</v>
      </c>
      <c r="AE15" s="22">
        <f t="shared" si="5"/>
        <v>0.69339407744874715</v>
      </c>
      <c r="AF15" s="22">
        <f t="shared" si="5"/>
        <v>0.66856492027334857</v>
      </c>
      <c r="AG15" s="22">
        <f t="shared" si="5"/>
        <v>0.37289293849658306</v>
      </c>
      <c r="AH15" s="22">
        <f t="shared" si="5"/>
        <v>8.0410022779043244E-2</v>
      </c>
      <c r="AI15" s="22">
        <f t="shared" si="5"/>
        <v>0</v>
      </c>
      <c r="AJ15" s="22">
        <f t="shared" si="5"/>
        <v>0.23599088838268789</v>
      </c>
      <c r="AK15" s="22">
        <f t="shared" si="5"/>
        <v>0.16492027334851936</v>
      </c>
    </row>
    <row r="16" spans="1:40" ht="15.75" customHeight="1">
      <c r="A16" s="2" t="s">
        <v>53</v>
      </c>
      <c r="B16" s="10">
        <v>7</v>
      </c>
      <c r="C16" s="9">
        <v>541</v>
      </c>
      <c r="D16" s="10">
        <v>2</v>
      </c>
      <c r="E16" s="9">
        <v>124</v>
      </c>
      <c r="F16" s="10">
        <v>311</v>
      </c>
      <c r="G16" s="9">
        <v>68</v>
      </c>
      <c r="H16" s="10">
        <v>194</v>
      </c>
      <c r="I16" s="9">
        <v>1</v>
      </c>
      <c r="J16" s="10">
        <v>1872</v>
      </c>
      <c r="K16" s="9">
        <v>86</v>
      </c>
      <c r="L16" s="10">
        <v>1518</v>
      </c>
      <c r="M16" s="9">
        <v>1031</v>
      </c>
      <c r="N16" s="10">
        <v>54</v>
      </c>
      <c r="O16" s="9">
        <v>111</v>
      </c>
      <c r="P16" s="10">
        <v>189</v>
      </c>
      <c r="Q16" s="9">
        <v>2731</v>
      </c>
      <c r="R16" s="10">
        <v>1374</v>
      </c>
      <c r="S16" s="9">
        <v>0</v>
      </c>
      <c r="T16" s="10">
        <v>1</v>
      </c>
      <c r="U16" s="9">
        <v>692</v>
      </c>
      <c r="V16" s="10">
        <v>3432</v>
      </c>
      <c r="W16" s="9">
        <v>16</v>
      </c>
      <c r="X16" s="10">
        <v>7</v>
      </c>
      <c r="Y16" s="9">
        <v>7</v>
      </c>
      <c r="Z16" s="10">
        <v>9</v>
      </c>
      <c r="AA16" s="9">
        <v>427</v>
      </c>
      <c r="AB16" s="10">
        <v>38</v>
      </c>
      <c r="AC16" s="9">
        <v>266</v>
      </c>
      <c r="AD16" s="10">
        <v>711</v>
      </c>
      <c r="AE16" s="9">
        <v>1</v>
      </c>
      <c r="AF16" s="10">
        <v>1697</v>
      </c>
      <c r="AG16" s="9">
        <v>1611</v>
      </c>
      <c r="AH16" s="10">
        <v>19</v>
      </c>
      <c r="AI16" s="9">
        <v>2255</v>
      </c>
      <c r="AJ16" s="10">
        <v>136</v>
      </c>
      <c r="AK16" s="9">
        <v>699</v>
      </c>
      <c r="AM16">
        <f>MAX(B16:AK16)</f>
        <v>3432</v>
      </c>
      <c r="AN16">
        <f>MIN(B16:AK16)</f>
        <v>0</v>
      </c>
    </row>
    <row r="17" spans="1:40" ht="15.75" customHeight="1">
      <c r="A17" s="26" t="s">
        <v>61</v>
      </c>
      <c r="B17" s="22">
        <f>(B16-$AN$16)/($AM$16-$AN$16)</f>
        <v>2.0396270396270395E-3</v>
      </c>
      <c r="C17" s="22">
        <f t="shared" ref="C17:AK17" si="6">(C16-$AN$16)/($AM$16-$AN$16)</f>
        <v>0.15763403263403264</v>
      </c>
      <c r="D17" s="22">
        <f t="shared" si="6"/>
        <v>5.8275058275058275E-4</v>
      </c>
      <c r="E17" s="22">
        <f t="shared" si="6"/>
        <v>3.6130536130536128E-2</v>
      </c>
      <c r="F17" s="22">
        <f t="shared" si="6"/>
        <v>9.0617715617715616E-2</v>
      </c>
      <c r="G17" s="22">
        <f t="shared" si="6"/>
        <v>1.9813519813519812E-2</v>
      </c>
      <c r="H17" s="22">
        <f t="shared" si="6"/>
        <v>5.6526806526806528E-2</v>
      </c>
      <c r="I17" s="22">
        <f t="shared" si="6"/>
        <v>2.9137529137529138E-4</v>
      </c>
      <c r="J17" s="22">
        <f t="shared" si="6"/>
        <v>0.54545454545454541</v>
      </c>
      <c r="K17" s="22">
        <f t="shared" si="6"/>
        <v>2.505827505827506E-2</v>
      </c>
      <c r="L17" s="22">
        <f t="shared" si="6"/>
        <v>0.44230769230769229</v>
      </c>
      <c r="M17" s="22">
        <f t="shared" si="6"/>
        <v>0.30040792540792538</v>
      </c>
      <c r="N17" s="22">
        <f t="shared" si="6"/>
        <v>1.5734265734265736E-2</v>
      </c>
      <c r="O17" s="22">
        <f t="shared" si="6"/>
        <v>3.2342657342657344E-2</v>
      </c>
      <c r="P17" s="22">
        <f t="shared" si="6"/>
        <v>5.5069930069930072E-2</v>
      </c>
      <c r="Q17" s="22">
        <f t="shared" si="6"/>
        <v>0.79574592074592077</v>
      </c>
      <c r="R17" s="22">
        <f t="shared" si="6"/>
        <v>0.40034965034965037</v>
      </c>
      <c r="S17" s="22">
        <f t="shared" si="6"/>
        <v>0</v>
      </c>
      <c r="T17" s="22">
        <f t="shared" si="6"/>
        <v>2.9137529137529138E-4</v>
      </c>
      <c r="U17" s="22">
        <f t="shared" si="6"/>
        <v>0.20163170163170163</v>
      </c>
      <c r="V17" s="22">
        <f t="shared" si="6"/>
        <v>1</v>
      </c>
      <c r="W17" s="22">
        <f t="shared" si="6"/>
        <v>4.662004662004662E-3</v>
      </c>
      <c r="X17" s="22">
        <f t="shared" si="6"/>
        <v>2.0396270396270395E-3</v>
      </c>
      <c r="Y17" s="22">
        <f t="shared" si="6"/>
        <v>2.0396270396270395E-3</v>
      </c>
      <c r="Z17" s="22">
        <f t="shared" si="6"/>
        <v>2.6223776223776225E-3</v>
      </c>
      <c r="AA17" s="22">
        <f t="shared" si="6"/>
        <v>0.12441724941724942</v>
      </c>
      <c r="AB17" s="22">
        <f t="shared" si="6"/>
        <v>1.1072261072261072E-2</v>
      </c>
      <c r="AC17" s="22">
        <f t="shared" si="6"/>
        <v>7.7505827505827504E-2</v>
      </c>
      <c r="AD17" s="22">
        <f t="shared" si="6"/>
        <v>0.20716783216783216</v>
      </c>
      <c r="AE17" s="22">
        <f t="shared" si="6"/>
        <v>2.9137529137529138E-4</v>
      </c>
      <c r="AF17" s="22">
        <f t="shared" si="6"/>
        <v>0.49446386946386944</v>
      </c>
      <c r="AG17" s="22">
        <f t="shared" si="6"/>
        <v>0.46940559440559443</v>
      </c>
      <c r="AH17" s="22">
        <f t="shared" si="6"/>
        <v>5.536130536130536E-3</v>
      </c>
      <c r="AI17" s="22">
        <f t="shared" si="6"/>
        <v>0.65705128205128205</v>
      </c>
      <c r="AJ17" s="22">
        <f t="shared" si="6"/>
        <v>3.9627039627039624E-2</v>
      </c>
      <c r="AK17" s="22">
        <f t="shared" si="6"/>
        <v>0.20367132867132867</v>
      </c>
    </row>
    <row r="18" spans="1:40" ht="15.75" customHeight="1">
      <c r="A18" s="2" t="s">
        <v>54</v>
      </c>
      <c r="B18" s="10">
        <v>0</v>
      </c>
      <c r="C18" s="9">
        <v>1704</v>
      </c>
      <c r="D18" s="10">
        <v>0</v>
      </c>
      <c r="E18" s="9">
        <v>379</v>
      </c>
      <c r="F18" s="10">
        <v>243</v>
      </c>
      <c r="G18" s="9">
        <v>1554</v>
      </c>
      <c r="H18" s="10">
        <v>344</v>
      </c>
      <c r="I18" s="9">
        <v>0</v>
      </c>
      <c r="J18" s="10">
        <v>2485</v>
      </c>
      <c r="K18" s="9">
        <v>0</v>
      </c>
      <c r="L18" s="10">
        <v>834</v>
      </c>
      <c r="M18" s="9">
        <v>854</v>
      </c>
      <c r="N18" s="10">
        <v>0</v>
      </c>
      <c r="O18" s="9">
        <v>0</v>
      </c>
      <c r="P18" s="10">
        <v>526</v>
      </c>
      <c r="Q18" s="9">
        <v>2951</v>
      </c>
      <c r="R18" s="10">
        <v>274</v>
      </c>
      <c r="S18" s="9">
        <v>0</v>
      </c>
      <c r="T18" s="10">
        <v>0</v>
      </c>
      <c r="U18" s="9">
        <v>371</v>
      </c>
      <c r="V18" s="10">
        <v>3305</v>
      </c>
      <c r="W18" s="9">
        <v>0</v>
      </c>
      <c r="X18" s="10">
        <v>0</v>
      </c>
      <c r="Y18" s="9">
        <v>0</v>
      </c>
      <c r="Z18" s="10">
        <v>0</v>
      </c>
      <c r="AA18" s="9">
        <v>1637</v>
      </c>
      <c r="AB18" s="10">
        <v>0</v>
      </c>
      <c r="AC18" s="9">
        <v>2391</v>
      </c>
      <c r="AD18" s="10">
        <v>1275</v>
      </c>
      <c r="AE18" s="9">
        <v>0</v>
      </c>
      <c r="AF18" s="10">
        <v>10950</v>
      </c>
      <c r="AG18" s="9">
        <v>2046</v>
      </c>
      <c r="AH18" s="10">
        <v>0</v>
      </c>
      <c r="AI18" s="9">
        <v>3915</v>
      </c>
      <c r="AJ18" s="10">
        <v>2219</v>
      </c>
      <c r="AK18" s="9">
        <v>1762</v>
      </c>
      <c r="AM18">
        <f>MAX(B18:AK18)</f>
        <v>10950</v>
      </c>
      <c r="AN18">
        <f>MIN(B18:AK18)</f>
        <v>0</v>
      </c>
    </row>
    <row r="19" spans="1:40" ht="15.75" customHeight="1">
      <c r="A19" s="26" t="s">
        <v>61</v>
      </c>
      <c r="B19" s="22">
        <f>(B18-$AN$18)/($AM$18-$AN$18)</f>
        <v>0</v>
      </c>
      <c r="C19" s="22">
        <f t="shared" ref="C19:AK19" si="7">(C18-$AN$18)/($AM$18-$AN$18)</f>
        <v>0.15561643835616437</v>
      </c>
      <c r="D19" s="22">
        <f t="shared" si="7"/>
        <v>0</v>
      </c>
      <c r="E19" s="22">
        <f t="shared" si="7"/>
        <v>3.4611872146118723E-2</v>
      </c>
      <c r="F19" s="22">
        <f t="shared" si="7"/>
        <v>2.2191780821917809E-2</v>
      </c>
      <c r="G19" s="22">
        <f t="shared" si="7"/>
        <v>0.14191780821917807</v>
      </c>
      <c r="H19" s="22">
        <f t="shared" si="7"/>
        <v>3.1415525114155254E-2</v>
      </c>
      <c r="I19" s="22">
        <f t="shared" si="7"/>
        <v>0</v>
      </c>
      <c r="J19" s="22">
        <f t="shared" si="7"/>
        <v>0.22694063926940639</v>
      </c>
      <c r="K19" s="22">
        <f t="shared" si="7"/>
        <v>0</v>
      </c>
      <c r="L19" s="22">
        <f t="shared" si="7"/>
        <v>7.6164383561643831E-2</v>
      </c>
      <c r="M19" s="22">
        <f t="shared" si="7"/>
        <v>7.7990867579908682E-2</v>
      </c>
      <c r="N19" s="22">
        <f t="shared" si="7"/>
        <v>0</v>
      </c>
      <c r="O19" s="22">
        <f t="shared" si="7"/>
        <v>0</v>
      </c>
      <c r="P19" s="22">
        <f t="shared" si="7"/>
        <v>4.80365296803653E-2</v>
      </c>
      <c r="Q19" s="22">
        <f t="shared" si="7"/>
        <v>0.26949771689497715</v>
      </c>
      <c r="R19" s="22">
        <f t="shared" si="7"/>
        <v>2.502283105022831E-2</v>
      </c>
      <c r="S19" s="22">
        <f t="shared" si="7"/>
        <v>0</v>
      </c>
      <c r="T19" s="22">
        <f t="shared" si="7"/>
        <v>0</v>
      </c>
      <c r="U19" s="22">
        <f t="shared" si="7"/>
        <v>3.3881278538812787E-2</v>
      </c>
      <c r="V19" s="22">
        <f t="shared" si="7"/>
        <v>0.30182648401826484</v>
      </c>
      <c r="W19" s="22">
        <f t="shared" si="7"/>
        <v>0</v>
      </c>
      <c r="X19" s="22">
        <f t="shared" si="7"/>
        <v>0</v>
      </c>
      <c r="Y19" s="22">
        <f t="shared" si="7"/>
        <v>0</v>
      </c>
      <c r="Z19" s="22">
        <f t="shared" si="7"/>
        <v>0</v>
      </c>
      <c r="AA19" s="22">
        <f t="shared" si="7"/>
        <v>0.14949771689497718</v>
      </c>
      <c r="AB19" s="22">
        <f t="shared" si="7"/>
        <v>0</v>
      </c>
      <c r="AC19" s="22">
        <f t="shared" si="7"/>
        <v>0.21835616438356165</v>
      </c>
      <c r="AD19" s="22">
        <f t="shared" si="7"/>
        <v>0.11643835616438356</v>
      </c>
      <c r="AE19" s="22">
        <f t="shared" si="7"/>
        <v>0</v>
      </c>
      <c r="AF19" s="22">
        <f t="shared" si="7"/>
        <v>1</v>
      </c>
      <c r="AG19" s="22">
        <f t="shared" si="7"/>
        <v>0.18684931506849314</v>
      </c>
      <c r="AH19" s="22">
        <f t="shared" si="7"/>
        <v>0</v>
      </c>
      <c r="AI19" s="22">
        <f t="shared" si="7"/>
        <v>0.35753424657534244</v>
      </c>
      <c r="AJ19" s="22">
        <f t="shared" si="7"/>
        <v>0.20264840182648403</v>
      </c>
      <c r="AK19" s="22">
        <f t="shared" si="7"/>
        <v>0.16091324200913243</v>
      </c>
    </row>
    <row r="20" spans="1:40" ht="15.75" customHeight="1">
      <c r="A20" s="2" t="s">
        <v>55</v>
      </c>
      <c r="B20" s="10">
        <v>0</v>
      </c>
      <c r="C20" s="9">
        <v>9</v>
      </c>
      <c r="D20" s="10">
        <v>0</v>
      </c>
      <c r="E20" s="9">
        <v>2</v>
      </c>
      <c r="F20" s="10">
        <v>5</v>
      </c>
      <c r="G20" s="9">
        <v>1</v>
      </c>
      <c r="H20" s="10">
        <v>7</v>
      </c>
      <c r="I20" s="9">
        <v>0</v>
      </c>
      <c r="J20" s="10">
        <v>17</v>
      </c>
      <c r="K20" s="9">
        <v>7</v>
      </c>
      <c r="L20" s="10">
        <v>17</v>
      </c>
      <c r="M20" s="9">
        <v>7</v>
      </c>
      <c r="N20" s="10">
        <v>0</v>
      </c>
      <c r="O20" s="9">
        <v>2</v>
      </c>
      <c r="P20" s="10">
        <v>3</v>
      </c>
      <c r="Q20" s="9">
        <v>27</v>
      </c>
      <c r="R20" s="10">
        <v>14</v>
      </c>
      <c r="S20" s="9">
        <v>0</v>
      </c>
      <c r="T20" s="10">
        <v>0</v>
      </c>
      <c r="U20" s="9">
        <v>8</v>
      </c>
      <c r="V20" s="10">
        <v>34</v>
      </c>
      <c r="W20" s="9">
        <v>1</v>
      </c>
      <c r="X20" s="10">
        <v>0</v>
      </c>
      <c r="Y20" s="9">
        <v>0</v>
      </c>
      <c r="Z20" s="10">
        <v>1</v>
      </c>
      <c r="AA20" s="9">
        <v>11</v>
      </c>
      <c r="AB20" s="10">
        <v>0</v>
      </c>
      <c r="AC20" s="9">
        <v>7</v>
      </c>
      <c r="AD20" s="10">
        <v>8</v>
      </c>
      <c r="AE20" s="9">
        <v>0</v>
      </c>
      <c r="AF20" s="10">
        <v>18</v>
      </c>
      <c r="AG20" s="9">
        <v>12</v>
      </c>
      <c r="AH20" s="10">
        <v>0</v>
      </c>
      <c r="AI20" s="9">
        <v>37</v>
      </c>
      <c r="AJ20" s="10">
        <v>4</v>
      </c>
      <c r="AK20" s="9">
        <v>4</v>
      </c>
      <c r="AM20">
        <f>MAX(B20:AK20)</f>
        <v>37</v>
      </c>
      <c r="AN20">
        <f>MIN(B20:AK20)</f>
        <v>0</v>
      </c>
    </row>
    <row r="21" spans="1:40" ht="15.75" customHeight="1">
      <c r="A21" s="26" t="s">
        <v>61</v>
      </c>
      <c r="B21" s="22">
        <f>(B20-$AN$20)/($AM$20-$AN$20)</f>
        <v>0</v>
      </c>
      <c r="C21" s="22">
        <f t="shared" ref="C21:AK21" si="8">(C20-$AN$20)/($AM$20-$AN$20)</f>
        <v>0.24324324324324326</v>
      </c>
      <c r="D21" s="22">
        <f t="shared" si="8"/>
        <v>0</v>
      </c>
      <c r="E21" s="22">
        <f t="shared" si="8"/>
        <v>5.4054054054054057E-2</v>
      </c>
      <c r="F21" s="22">
        <f t="shared" si="8"/>
        <v>0.13513513513513514</v>
      </c>
      <c r="G21" s="22">
        <f t="shared" si="8"/>
        <v>2.7027027027027029E-2</v>
      </c>
      <c r="H21" s="22">
        <f t="shared" si="8"/>
        <v>0.1891891891891892</v>
      </c>
      <c r="I21" s="22">
        <f t="shared" si="8"/>
        <v>0</v>
      </c>
      <c r="J21" s="22">
        <f t="shared" si="8"/>
        <v>0.45945945945945948</v>
      </c>
      <c r="K21" s="22">
        <f t="shared" si="8"/>
        <v>0.1891891891891892</v>
      </c>
      <c r="L21" s="22">
        <f t="shared" si="8"/>
        <v>0.45945945945945948</v>
      </c>
      <c r="M21" s="22">
        <f t="shared" si="8"/>
        <v>0.1891891891891892</v>
      </c>
      <c r="N21" s="22">
        <f t="shared" si="8"/>
        <v>0</v>
      </c>
      <c r="O21" s="22">
        <f t="shared" si="8"/>
        <v>5.4054054054054057E-2</v>
      </c>
      <c r="P21" s="22">
        <f t="shared" si="8"/>
        <v>8.1081081081081086E-2</v>
      </c>
      <c r="Q21" s="22">
        <f t="shared" si="8"/>
        <v>0.72972972972972971</v>
      </c>
      <c r="R21" s="22">
        <f t="shared" si="8"/>
        <v>0.3783783783783784</v>
      </c>
      <c r="S21" s="22">
        <f t="shared" si="8"/>
        <v>0</v>
      </c>
      <c r="T21" s="22">
        <f t="shared" si="8"/>
        <v>0</v>
      </c>
      <c r="U21" s="22">
        <f t="shared" si="8"/>
        <v>0.21621621621621623</v>
      </c>
      <c r="V21" s="22">
        <f t="shared" si="8"/>
        <v>0.91891891891891897</v>
      </c>
      <c r="W21" s="22">
        <f t="shared" si="8"/>
        <v>2.7027027027027029E-2</v>
      </c>
      <c r="X21" s="22">
        <f t="shared" si="8"/>
        <v>0</v>
      </c>
      <c r="Y21" s="22">
        <f t="shared" si="8"/>
        <v>0</v>
      </c>
      <c r="Z21" s="22">
        <f t="shared" si="8"/>
        <v>2.7027027027027029E-2</v>
      </c>
      <c r="AA21" s="22">
        <f t="shared" si="8"/>
        <v>0.29729729729729731</v>
      </c>
      <c r="AB21" s="22">
        <f t="shared" si="8"/>
        <v>0</v>
      </c>
      <c r="AC21" s="22">
        <f t="shared" si="8"/>
        <v>0.1891891891891892</v>
      </c>
      <c r="AD21" s="22">
        <f t="shared" si="8"/>
        <v>0.21621621621621623</v>
      </c>
      <c r="AE21" s="22">
        <f t="shared" si="8"/>
        <v>0</v>
      </c>
      <c r="AF21" s="22">
        <f t="shared" si="8"/>
        <v>0.48648648648648651</v>
      </c>
      <c r="AG21" s="22">
        <f t="shared" si="8"/>
        <v>0.32432432432432434</v>
      </c>
      <c r="AH21" s="22">
        <f t="shared" si="8"/>
        <v>0</v>
      </c>
      <c r="AI21" s="22">
        <f t="shared" si="8"/>
        <v>1</v>
      </c>
      <c r="AJ21" s="22">
        <f t="shared" si="8"/>
        <v>0.10810810810810811</v>
      </c>
      <c r="AK21" s="22">
        <f t="shared" si="8"/>
        <v>0.10810810810810811</v>
      </c>
    </row>
    <row r="22" spans="1:40" ht="15.75" customHeight="1">
      <c r="A22" s="2" t="s">
        <v>56</v>
      </c>
      <c r="B22" s="24" t="s">
        <v>3</v>
      </c>
      <c r="C22" s="23" t="s">
        <v>3</v>
      </c>
      <c r="D22" s="24" t="s">
        <v>3</v>
      </c>
      <c r="E22" s="23" t="s">
        <v>3</v>
      </c>
      <c r="F22" s="24" t="s">
        <v>3</v>
      </c>
      <c r="G22" s="23" t="s">
        <v>3</v>
      </c>
      <c r="H22" s="24" t="s">
        <v>3</v>
      </c>
      <c r="I22" s="23" t="s">
        <v>3</v>
      </c>
      <c r="J22" s="24" t="s">
        <v>3</v>
      </c>
      <c r="K22" s="23" t="s">
        <v>3</v>
      </c>
      <c r="L22" s="24" t="s">
        <v>10</v>
      </c>
      <c r="M22" s="23" t="s">
        <v>3</v>
      </c>
      <c r="N22" s="24" t="s">
        <v>3</v>
      </c>
      <c r="O22" s="23" t="s">
        <v>3</v>
      </c>
      <c r="P22" s="24" t="s">
        <v>3</v>
      </c>
      <c r="Q22" s="23" t="s">
        <v>3</v>
      </c>
      <c r="R22" s="24" t="s">
        <v>3</v>
      </c>
      <c r="S22" s="23" t="s">
        <v>3</v>
      </c>
      <c r="T22" s="24" t="s">
        <v>3</v>
      </c>
      <c r="U22" s="23" t="s">
        <v>3</v>
      </c>
      <c r="V22" s="24" t="s">
        <v>18</v>
      </c>
      <c r="W22" s="23" t="s">
        <v>3</v>
      </c>
      <c r="X22" s="24" t="s">
        <v>3</v>
      </c>
      <c r="Y22" s="23" t="s">
        <v>3</v>
      </c>
      <c r="Z22" s="24" t="s">
        <v>3</v>
      </c>
      <c r="AA22" s="23" t="s">
        <v>24</v>
      </c>
      <c r="AB22" s="24" t="s">
        <v>3</v>
      </c>
      <c r="AC22" s="23" t="s">
        <v>3</v>
      </c>
      <c r="AD22" s="24" t="s">
        <v>3</v>
      </c>
      <c r="AE22" s="23" t="s">
        <v>3</v>
      </c>
      <c r="AF22" s="24" t="s">
        <v>29</v>
      </c>
      <c r="AG22" s="23" t="s">
        <v>31</v>
      </c>
      <c r="AH22" s="24" t="s">
        <v>3</v>
      </c>
      <c r="AI22" s="23" t="s">
        <v>3</v>
      </c>
      <c r="AJ22" s="24" t="s">
        <v>3</v>
      </c>
      <c r="AK22" s="23" t="s">
        <v>3</v>
      </c>
    </row>
    <row r="23" spans="1:40" ht="15.75" customHeight="1">
      <c r="A23" s="26" t="s">
        <v>62</v>
      </c>
      <c r="B23" s="24" t="str">
        <f t="shared" ref="B23:AK23" si="9">IF(B22=$B$36,"0","1")</f>
        <v>0</v>
      </c>
      <c r="C23" s="24" t="str">
        <f t="shared" si="9"/>
        <v>0</v>
      </c>
      <c r="D23" s="24" t="str">
        <f t="shared" si="9"/>
        <v>0</v>
      </c>
      <c r="E23" s="24" t="str">
        <f t="shared" si="9"/>
        <v>0</v>
      </c>
      <c r="F23" s="24" t="str">
        <f t="shared" si="9"/>
        <v>0</v>
      </c>
      <c r="G23" s="24" t="str">
        <f t="shared" si="9"/>
        <v>0</v>
      </c>
      <c r="H23" s="24" t="str">
        <f t="shared" si="9"/>
        <v>0</v>
      </c>
      <c r="I23" s="24" t="str">
        <f t="shared" si="9"/>
        <v>0</v>
      </c>
      <c r="J23" s="24" t="str">
        <f t="shared" si="9"/>
        <v>0</v>
      </c>
      <c r="K23" s="24" t="str">
        <f t="shared" si="9"/>
        <v>0</v>
      </c>
      <c r="L23" s="24" t="str">
        <f t="shared" si="9"/>
        <v>1</v>
      </c>
      <c r="M23" s="24" t="str">
        <f t="shared" si="9"/>
        <v>0</v>
      </c>
      <c r="N23" s="24" t="str">
        <f t="shared" si="9"/>
        <v>0</v>
      </c>
      <c r="O23" s="24" t="str">
        <f t="shared" si="9"/>
        <v>0</v>
      </c>
      <c r="P23" s="24" t="str">
        <f t="shared" si="9"/>
        <v>0</v>
      </c>
      <c r="Q23" s="24" t="str">
        <f t="shared" si="9"/>
        <v>0</v>
      </c>
      <c r="R23" s="24" t="str">
        <f t="shared" si="9"/>
        <v>0</v>
      </c>
      <c r="S23" s="24" t="str">
        <f t="shared" si="9"/>
        <v>0</v>
      </c>
      <c r="T23" s="24" t="str">
        <f t="shared" si="9"/>
        <v>0</v>
      </c>
      <c r="U23" s="24" t="str">
        <f t="shared" si="9"/>
        <v>0</v>
      </c>
      <c r="V23" s="24" t="str">
        <f t="shared" si="9"/>
        <v>1</v>
      </c>
      <c r="W23" s="24" t="str">
        <f t="shared" si="9"/>
        <v>0</v>
      </c>
      <c r="X23" s="24" t="str">
        <f t="shared" si="9"/>
        <v>0</v>
      </c>
      <c r="Y23" s="24" t="str">
        <f t="shared" si="9"/>
        <v>0</v>
      </c>
      <c r="Z23" s="24" t="str">
        <f t="shared" si="9"/>
        <v>0</v>
      </c>
      <c r="AA23" s="24" t="str">
        <f t="shared" si="9"/>
        <v>1</v>
      </c>
      <c r="AB23" s="24" t="str">
        <f t="shared" si="9"/>
        <v>0</v>
      </c>
      <c r="AC23" s="24" t="str">
        <f t="shared" si="9"/>
        <v>0</v>
      </c>
      <c r="AD23" s="24" t="str">
        <f t="shared" si="9"/>
        <v>0</v>
      </c>
      <c r="AE23" s="24" t="str">
        <f t="shared" si="9"/>
        <v>0</v>
      </c>
      <c r="AF23" s="24" t="str">
        <f t="shared" si="9"/>
        <v>1</v>
      </c>
      <c r="AG23" s="24" t="str">
        <f t="shared" si="9"/>
        <v>1</v>
      </c>
      <c r="AH23" s="24" t="str">
        <f t="shared" si="9"/>
        <v>0</v>
      </c>
      <c r="AI23" s="24" t="str">
        <f t="shared" si="9"/>
        <v>0</v>
      </c>
      <c r="AJ23" s="24" t="str">
        <f t="shared" si="9"/>
        <v>0</v>
      </c>
      <c r="AK23" s="24" t="str">
        <f t="shared" si="9"/>
        <v>0</v>
      </c>
    </row>
    <row r="24" spans="1:40" ht="15.75" customHeight="1">
      <c r="A24" s="2" t="s">
        <v>57</v>
      </c>
      <c r="B24" s="10">
        <v>117</v>
      </c>
      <c r="C24" s="9">
        <v>551</v>
      </c>
      <c r="D24" s="10">
        <v>53</v>
      </c>
      <c r="E24" s="9">
        <v>814</v>
      </c>
      <c r="F24" s="10">
        <v>66</v>
      </c>
      <c r="G24" s="9">
        <v>717</v>
      </c>
      <c r="H24" s="10">
        <v>151</v>
      </c>
      <c r="I24" s="9">
        <v>53</v>
      </c>
      <c r="J24" s="10">
        <v>426</v>
      </c>
      <c r="K24" s="9">
        <v>244</v>
      </c>
      <c r="L24" s="10">
        <v>889</v>
      </c>
      <c r="M24" s="9">
        <v>985</v>
      </c>
      <c r="N24" s="10">
        <v>280</v>
      </c>
      <c r="O24" s="9">
        <v>1164</v>
      </c>
      <c r="P24" s="10">
        <v>43</v>
      </c>
      <c r="Q24" s="9">
        <v>2092</v>
      </c>
      <c r="R24" s="10">
        <v>939</v>
      </c>
      <c r="S24" s="9">
        <v>13</v>
      </c>
      <c r="T24" s="10">
        <v>0</v>
      </c>
      <c r="U24" s="9">
        <v>1539</v>
      </c>
      <c r="V24" s="10">
        <v>644</v>
      </c>
      <c r="W24" s="9">
        <v>158</v>
      </c>
      <c r="X24" s="10">
        <v>79</v>
      </c>
      <c r="Y24" s="9">
        <v>0</v>
      </c>
      <c r="Z24" s="10">
        <v>24</v>
      </c>
      <c r="AA24" s="9">
        <v>404</v>
      </c>
      <c r="AB24" s="10">
        <v>44</v>
      </c>
      <c r="AC24" s="9">
        <v>196</v>
      </c>
      <c r="AD24" s="10">
        <v>709</v>
      </c>
      <c r="AE24" s="9">
        <v>8</v>
      </c>
      <c r="AF24" s="10">
        <v>524</v>
      </c>
      <c r="AG24" s="9">
        <v>365</v>
      </c>
      <c r="AH24" s="10">
        <v>71</v>
      </c>
      <c r="AI24" s="9">
        <v>822</v>
      </c>
      <c r="AJ24" s="10">
        <v>951</v>
      </c>
      <c r="AK24" s="9">
        <v>106</v>
      </c>
      <c r="AM24">
        <f>MAX(B24:AK24)</f>
        <v>2092</v>
      </c>
      <c r="AN24">
        <f>MIN(B24:AK24)</f>
        <v>0</v>
      </c>
    </row>
    <row r="25" spans="1:40" ht="15.75" customHeight="1">
      <c r="A25" s="26" t="s">
        <v>61</v>
      </c>
      <c r="B25" s="22">
        <f>(B24-$AN$24)/($AM$24-$AN$24)</f>
        <v>5.5927342256214152E-2</v>
      </c>
      <c r="C25" s="22">
        <f t="shared" ref="C25:AK25" si="10">(C24-$AN$24)/($AM$24-$AN$24)</f>
        <v>0.26338432122370936</v>
      </c>
      <c r="D25" s="22">
        <f t="shared" si="10"/>
        <v>2.5334608030592735E-2</v>
      </c>
      <c r="E25" s="22">
        <f t="shared" si="10"/>
        <v>0.38910133843212236</v>
      </c>
      <c r="F25" s="22">
        <f t="shared" si="10"/>
        <v>3.1548757170172081E-2</v>
      </c>
      <c r="G25" s="22">
        <f t="shared" si="10"/>
        <v>0.34273422562141492</v>
      </c>
      <c r="H25" s="22">
        <f t="shared" si="10"/>
        <v>7.2179732313575523E-2</v>
      </c>
      <c r="I25" s="22">
        <f t="shared" si="10"/>
        <v>2.5334608030592735E-2</v>
      </c>
      <c r="J25" s="22">
        <f t="shared" si="10"/>
        <v>0.20363288718929254</v>
      </c>
      <c r="K25" s="22">
        <f t="shared" si="10"/>
        <v>0.11663479923518165</v>
      </c>
      <c r="L25" s="22">
        <f t="shared" si="10"/>
        <v>0.42495219885277247</v>
      </c>
      <c r="M25" s="22">
        <f t="shared" si="10"/>
        <v>0.47084130019120457</v>
      </c>
      <c r="N25" s="22">
        <f t="shared" si="10"/>
        <v>0.13384321223709369</v>
      </c>
      <c r="O25" s="22">
        <f t="shared" si="10"/>
        <v>0.55640535372848954</v>
      </c>
      <c r="P25" s="22">
        <f t="shared" si="10"/>
        <v>2.0554493307839389E-2</v>
      </c>
      <c r="Q25" s="22">
        <f t="shared" si="10"/>
        <v>1</v>
      </c>
      <c r="R25" s="22">
        <f t="shared" si="10"/>
        <v>0.44885277246653921</v>
      </c>
      <c r="S25" s="22">
        <f t="shared" si="10"/>
        <v>6.2141491395793502E-3</v>
      </c>
      <c r="T25" s="22">
        <f t="shared" si="10"/>
        <v>0</v>
      </c>
      <c r="U25" s="22">
        <f t="shared" si="10"/>
        <v>0.73565965583173998</v>
      </c>
      <c r="V25" s="22">
        <f t="shared" si="10"/>
        <v>0.30783938814531547</v>
      </c>
      <c r="W25" s="22">
        <f t="shared" si="10"/>
        <v>7.5525812619502863E-2</v>
      </c>
      <c r="X25" s="22">
        <f t="shared" si="10"/>
        <v>3.7762906309751432E-2</v>
      </c>
      <c r="Y25" s="22">
        <f>(Y24-$AN$24)/($AM$24-$AN$24)</f>
        <v>0</v>
      </c>
      <c r="Z25" s="22">
        <f t="shared" si="10"/>
        <v>1.1472275334608031E-2</v>
      </c>
      <c r="AA25" s="22">
        <f t="shared" si="10"/>
        <v>0.19311663479923519</v>
      </c>
      <c r="AB25" s="22">
        <f t="shared" si="10"/>
        <v>2.1032504780114723E-2</v>
      </c>
      <c r="AC25" s="22">
        <f t="shared" si="10"/>
        <v>9.3690248565965584E-2</v>
      </c>
      <c r="AD25" s="22">
        <f t="shared" si="10"/>
        <v>0.33891013384321222</v>
      </c>
      <c r="AE25" s="22">
        <f t="shared" si="10"/>
        <v>3.8240917782026767E-3</v>
      </c>
      <c r="AF25" s="22">
        <f t="shared" si="10"/>
        <v>0.25047801147227533</v>
      </c>
      <c r="AG25" s="22">
        <f t="shared" si="10"/>
        <v>0.17447418738049714</v>
      </c>
      <c r="AH25" s="22">
        <f t="shared" si="10"/>
        <v>3.3938814531548754E-2</v>
      </c>
      <c r="AI25" s="22">
        <f t="shared" si="10"/>
        <v>0.39292543021032506</v>
      </c>
      <c r="AJ25" s="22">
        <f t="shared" si="10"/>
        <v>0.45458891013384323</v>
      </c>
      <c r="AK25" s="22">
        <f t="shared" si="10"/>
        <v>5.0669216061185469E-2</v>
      </c>
    </row>
    <row r="26" spans="1:40" ht="15.75" customHeight="1">
      <c r="A26" s="2" t="s">
        <v>58</v>
      </c>
      <c r="B26" s="10">
        <v>0</v>
      </c>
      <c r="C26" s="9">
        <v>11</v>
      </c>
      <c r="D26" s="10">
        <v>0</v>
      </c>
      <c r="E26" s="9">
        <v>4</v>
      </c>
      <c r="F26" s="10">
        <v>0</v>
      </c>
      <c r="G26" s="9">
        <v>1</v>
      </c>
      <c r="H26" s="10">
        <v>0</v>
      </c>
      <c r="I26" s="9">
        <v>0</v>
      </c>
      <c r="J26" s="10">
        <v>11</v>
      </c>
      <c r="K26" s="9">
        <v>1</v>
      </c>
      <c r="L26" s="10">
        <v>0</v>
      </c>
      <c r="M26" s="9">
        <v>0</v>
      </c>
      <c r="N26" s="10">
        <v>0</v>
      </c>
      <c r="O26" s="9">
        <v>0</v>
      </c>
      <c r="P26" s="10">
        <v>0</v>
      </c>
      <c r="Q26" s="9">
        <v>10</v>
      </c>
      <c r="R26" s="10">
        <v>2</v>
      </c>
      <c r="S26" s="9">
        <v>0</v>
      </c>
      <c r="T26" s="10">
        <v>0</v>
      </c>
      <c r="U26" s="9">
        <v>4</v>
      </c>
      <c r="V26" s="10">
        <v>0</v>
      </c>
      <c r="W26" s="9">
        <v>0</v>
      </c>
      <c r="X26" s="10">
        <v>1</v>
      </c>
      <c r="Y26" s="9">
        <v>8</v>
      </c>
      <c r="Z26" s="10">
        <v>0</v>
      </c>
      <c r="AA26" s="9">
        <v>0</v>
      </c>
      <c r="AB26" s="10">
        <v>0</v>
      </c>
      <c r="AC26" s="9">
        <v>12</v>
      </c>
      <c r="AD26" s="10">
        <v>9</v>
      </c>
      <c r="AE26" s="9">
        <v>6</v>
      </c>
      <c r="AF26" s="10">
        <v>15</v>
      </c>
      <c r="AG26" s="9">
        <v>0</v>
      </c>
      <c r="AH26" s="10">
        <v>0</v>
      </c>
      <c r="AI26" s="9">
        <v>1</v>
      </c>
      <c r="AJ26" s="10">
        <v>1</v>
      </c>
      <c r="AK26" s="9">
        <v>0</v>
      </c>
      <c r="AM26">
        <f>MAX(B26:AK26)</f>
        <v>15</v>
      </c>
      <c r="AN26">
        <f>MIN(B26:AK26)</f>
        <v>0</v>
      </c>
    </row>
    <row r="27" spans="1:40" ht="15.75" customHeight="1">
      <c r="A27" s="26" t="s">
        <v>61</v>
      </c>
      <c r="B27" s="22">
        <f>(B26-$AN$26)/($AM$26-$AN$26)</f>
        <v>0</v>
      </c>
      <c r="C27" s="22">
        <f t="shared" ref="C27:AK27" si="11">(C26-$AN$26)/($AM$26-$AN$26)</f>
        <v>0.73333333333333328</v>
      </c>
      <c r="D27" s="22">
        <f t="shared" si="11"/>
        <v>0</v>
      </c>
      <c r="E27" s="22">
        <f t="shared" si="11"/>
        <v>0.26666666666666666</v>
      </c>
      <c r="F27" s="22">
        <f t="shared" si="11"/>
        <v>0</v>
      </c>
      <c r="G27" s="22">
        <f t="shared" si="11"/>
        <v>6.6666666666666666E-2</v>
      </c>
      <c r="H27" s="22">
        <f t="shared" si="11"/>
        <v>0</v>
      </c>
      <c r="I27" s="22">
        <f t="shared" si="11"/>
        <v>0</v>
      </c>
      <c r="J27" s="22">
        <f t="shared" si="11"/>
        <v>0.73333333333333328</v>
      </c>
      <c r="K27" s="22">
        <f t="shared" si="11"/>
        <v>6.6666666666666666E-2</v>
      </c>
      <c r="L27" s="22">
        <f t="shared" si="11"/>
        <v>0</v>
      </c>
      <c r="M27" s="22">
        <f t="shared" si="11"/>
        <v>0</v>
      </c>
      <c r="N27" s="22">
        <f t="shared" si="11"/>
        <v>0</v>
      </c>
      <c r="O27" s="22">
        <f t="shared" si="11"/>
        <v>0</v>
      </c>
      <c r="P27" s="22">
        <f t="shared" si="11"/>
        <v>0</v>
      </c>
      <c r="Q27" s="22">
        <f t="shared" si="11"/>
        <v>0.66666666666666663</v>
      </c>
      <c r="R27" s="22">
        <f t="shared" si="11"/>
        <v>0.13333333333333333</v>
      </c>
      <c r="S27" s="22">
        <f t="shared" si="11"/>
        <v>0</v>
      </c>
      <c r="T27" s="22">
        <f t="shared" si="11"/>
        <v>0</v>
      </c>
      <c r="U27" s="22">
        <f t="shared" si="11"/>
        <v>0.26666666666666666</v>
      </c>
      <c r="V27" s="22">
        <f t="shared" si="11"/>
        <v>0</v>
      </c>
      <c r="W27" s="22">
        <f t="shared" si="11"/>
        <v>0</v>
      </c>
      <c r="X27" s="22">
        <f t="shared" si="11"/>
        <v>6.6666666666666666E-2</v>
      </c>
      <c r="Y27" s="22">
        <f t="shared" si="11"/>
        <v>0.53333333333333333</v>
      </c>
      <c r="Z27" s="22">
        <f t="shared" si="11"/>
        <v>0</v>
      </c>
      <c r="AA27" s="22">
        <f t="shared" si="11"/>
        <v>0</v>
      </c>
      <c r="AB27" s="22">
        <f t="shared" si="11"/>
        <v>0</v>
      </c>
      <c r="AC27" s="22">
        <f t="shared" si="11"/>
        <v>0.8</v>
      </c>
      <c r="AD27" s="22">
        <f t="shared" si="11"/>
        <v>0.6</v>
      </c>
      <c r="AE27" s="22">
        <f t="shared" si="11"/>
        <v>0.4</v>
      </c>
      <c r="AF27" s="22">
        <f t="shared" si="11"/>
        <v>1</v>
      </c>
      <c r="AG27" s="22">
        <f t="shared" si="11"/>
        <v>0</v>
      </c>
      <c r="AH27" s="22">
        <f t="shared" si="11"/>
        <v>0</v>
      </c>
      <c r="AI27" s="22">
        <f t="shared" si="11"/>
        <v>6.6666666666666666E-2</v>
      </c>
      <c r="AJ27" s="22">
        <f t="shared" si="11"/>
        <v>6.6666666666666666E-2</v>
      </c>
      <c r="AK27" s="22">
        <f t="shared" si="11"/>
        <v>0</v>
      </c>
    </row>
    <row r="28" spans="1:40" ht="15.75" customHeight="1">
      <c r="A28" s="2" t="s">
        <v>59</v>
      </c>
      <c r="B28" s="10">
        <v>321</v>
      </c>
      <c r="C28" s="9">
        <v>579</v>
      </c>
      <c r="D28" s="10">
        <v>309</v>
      </c>
      <c r="E28" s="9">
        <v>469</v>
      </c>
      <c r="F28" s="10">
        <v>238</v>
      </c>
      <c r="G28" s="9">
        <v>224</v>
      </c>
      <c r="H28" s="10">
        <v>287</v>
      </c>
      <c r="I28" s="9">
        <v>78</v>
      </c>
      <c r="J28" s="10">
        <v>436</v>
      </c>
      <c r="K28" s="9">
        <v>240</v>
      </c>
      <c r="L28" s="10">
        <v>443</v>
      </c>
      <c r="M28" s="9">
        <v>757</v>
      </c>
      <c r="N28" s="10">
        <v>503</v>
      </c>
      <c r="O28" s="9">
        <v>1140</v>
      </c>
      <c r="P28" s="10">
        <v>333</v>
      </c>
      <c r="Q28" s="9">
        <v>755</v>
      </c>
      <c r="R28" s="10">
        <v>911</v>
      </c>
      <c r="S28" s="9">
        <v>46</v>
      </c>
      <c r="T28" s="10">
        <v>42</v>
      </c>
      <c r="U28" s="9">
        <v>1010</v>
      </c>
      <c r="V28" s="10">
        <v>534</v>
      </c>
      <c r="W28" s="9">
        <v>40</v>
      </c>
      <c r="X28" s="10">
        <v>363</v>
      </c>
      <c r="Y28" s="9">
        <v>103</v>
      </c>
      <c r="Z28" s="10">
        <v>64</v>
      </c>
      <c r="AA28" s="9">
        <v>404</v>
      </c>
      <c r="AB28" s="10">
        <v>605</v>
      </c>
      <c r="AC28" s="9">
        <v>484</v>
      </c>
      <c r="AD28" s="10">
        <v>566</v>
      </c>
      <c r="AE28" s="9">
        <v>51</v>
      </c>
      <c r="AF28" s="10">
        <v>1128</v>
      </c>
      <c r="AG28" s="9">
        <v>768</v>
      </c>
      <c r="AH28" s="10">
        <v>264</v>
      </c>
      <c r="AI28" s="9">
        <v>798</v>
      </c>
      <c r="AJ28" s="10">
        <v>887</v>
      </c>
      <c r="AK28" s="9">
        <v>401</v>
      </c>
      <c r="AM28">
        <f>MAX(B28:AK28)</f>
        <v>1140</v>
      </c>
      <c r="AN28">
        <f>MIN(B28:AK28)</f>
        <v>40</v>
      </c>
    </row>
    <row r="29" spans="1:40" ht="15.75" customHeight="1">
      <c r="A29" s="26" t="s">
        <v>61</v>
      </c>
      <c r="B29" s="22">
        <f>(B28-$AN$28)/($AM$28-$AN$28)</f>
        <v>0.25545454545454543</v>
      </c>
      <c r="C29" s="22">
        <f t="shared" ref="C29:AK29" si="12">(C28-$AN$28)/($AM$28-$AN$28)</f>
        <v>0.49</v>
      </c>
      <c r="D29" s="22">
        <f t="shared" si="12"/>
        <v>0.24454545454545454</v>
      </c>
      <c r="E29" s="22">
        <f t="shared" si="12"/>
        <v>0.39</v>
      </c>
      <c r="F29" s="22">
        <f t="shared" si="12"/>
        <v>0.18</v>
      </c>
      <c r="G29" s="22">
        <f t="shared" si="12"/>
        <v>0.16727272727272727</v>
      </c>
      <c r="H29" s="22">
        <f t="shared" si="12"/>
        <v>0.22454545454545455</v>
      </c>
      <c r="I29" s="22">
        <f t="shared" si="12"/>
        <v>3.4545454545454546E-2</v>
      </c>
      <c r="J29" s="22">
        <f t="shared" si="12"/>
        <v>0.36</v>
      </c>
      <c r="K29" s="22">
        <f t="shared" si="12"/>
        <v>0.18181818181818182</v>
      </c>
      <c r="L29" s="22">
        <f t="shared" si="12"/>
        <v>0.36636363636363639</v>
      </c>
      <c r="M29" s="22">
        <f t="shared" si="12"/>
        <v>0.65181818181818185</v>
      </c>
      <c r="N29" s="22">
        <f t="shared" si="12"/>
        <v>0.4209090909090909</v>
      </c>
      <c r="O29" s="22">
        <f t="shared" si="12"/>
        <v>1</v>
      </c>
      <c r="P29" s="22">
        <f t="shared" si="12"/>
        <v>0.26636363636363636</v>
      </c>
      <c r="Q29" s="22">
        <f t="shared" si="12"/>
        <v>0.65</v>
      </c>
      <c r="R29" s="22">
        <f t="shared" si="12"/>
        <v>0.79181818181818187</v>
      </c>
      <c r="S29" s="22">
        <f t="shared" si="12"/>
        <v>5.454545454545455E-3</v>
      </c>
      <c r="T29" s="22">
        <f t="shared" si="12"/>
        <v>1.8181818181818182E-3</v>
      </c>
      <c r="U29" s="22">
        <f t="shared" si="12"/>
        <v>0.88181818181818183</v>
      </c>
      <c r="V29" s="22">
        <f t="shared" si="12"/>
        <v>0.4490909090909091</v>
      </c>
      <c r="W29" s="22">
        <f t="shared" si="12"/>
        <v>0</v>
      </c>
      <c r="X29" s="22">
        <f t="shared" si="12"/>
        <v>0.29363636363636364</v>
      </c>
      <c r="Y29" s="22">
        <f t="shared" si="12"/>
        <v>5.7272727272727274E-2</v>
      </c>
      <c r="Z29" s="22">
        <f t="shared" si="12"/>
        <v>2.181818181818182E-2</v>
      </c>
      <c r="AA29" s="22">
        <f t="shared" si="12"/>
        <v>0.33090909090909093</v>
      </c>
      <c r="AB29" s="22">
        <f t="shared" si="12"/>
        <v>0.51363636363636367</v>
      </c>
      <c r="AC29" s="22">
        <f t="shared" si="12"/>
        <v>0.40363636363636363</v>
      </c>
      <c r="AD29" s="22">
        <f t="shared" si="12"/>
        <v>0.47818181818181821</v>
      </c>
      <c r="AE29" s="22">
        <f t="shared" si="12"/>
        <v>0.01</v>
      </c>
      <c r="AF29" s="22">
        <f t="shared" si="12"/>
        <v>0.98909090909090913</v>
      </c>
      <c r="AG29" s="22">
        <f t="shared" si="12"/>
        <v>0.66181818181818186</v>
      </c>
      <c r="AH29" s="22">
        <f t="shared" si="12"/>
        <v>0.20363636363636364</v>
      </c>
      <c r="AI29" s="22">
        <f t="shared" si="12"/>
        <v>0.68909090909090909</v>
      </c>
      <c r="AJ29" s="22">
        <f t="shared" si="12"/>
        <v>0.77</v>
      </c>
      <c r="AK29" s="22">
        <f t="shared" si="12"/>
        <v>0.32818181818181819</v>
      </c>
    </row>
    <row r="30" spans="1:40" ht="15.75" customHeight="1">
      <c r="A30" s="2" t="s">
        <v>60</v>
      </c>
      <c r="B30" s="10">
        <v>100</v>
      </c>
      <c r="C30" s="9">
        <v>25</v>
      </c>
      <c r="D30" s="10">
        <v>86</v>
      </c>
      <c r="E30" s="9">
        <v>100</v>
      </c>
      <c r="F30" s="10">
        <v>100</v>
      </c>
      <c r="G30" s="9">
        <v>100</v>
      </c>
      <c r="H30" s="10">
        <v>0</v>
      </c>
      <c r="I30" s="9">
        <v>75</v>
      </c>
      <c r="J30" s="10">
        <v>75</v>
      </c>
      <c r="K30" s="9">
        <v>75</v>
      </c>
      <c r="L30" s="10">
        <v>75</v>
      </c>
      <c r="M30" s="9">
        <v>100</v>
      </c>
      <c r="N30" s="10">
        <v>71</v>
      </c>
      <c r="O30" s="9">
        <v>100</v>
      </c>
      <c r="P30" s="10">
        <v>75</v>
      </c>
      <c r="Q30" s="9">
        <v>50</v>
      </c>
      <c r="R30" s="10">
        <v>100</v>
      </c>
      <c r="S30" s="9">
        <v>100</v>
      </c>
      <c r="T30" s="10">
        <v>50</v>
      </c>
      <c r="U30" s="9">
        <v>75</v>
      </c>
      <c r="V30" s="10">
        <v>50</v>
      </c>
      <c r="W30" s="9">
        <v>100</v>
      </c>
      <c r="X30" s="10">
        <v>100</v>
      </c>
      <c r="Y30" s="9">
        <v>86</v>
      </c>
      <c r="Z30" s="10">
        <v>86</v>
      </c>
      <c r="AA30" s="9">
        <v>100</v>
      </c>
      <c r="AB30" s="10">
        <v>100</v>
      </c>
      <c r="AC30" s="9">
        <v>50</v>
      </c>
      <c r="AD30" s="10">
        <v>25</v>
      </c>
      <c r="AE30" s="9">
        <v>100</v>
      </c>
      <c r="AF30" s="10">
        <v>75</v>
      </c>
      <c r="AG30" s="9">
        <v>50</v>
      </c>
      <c r="AH30" s="10">
        <v>100</v>
      </c>
      <c r="AI30" s="9">
        <v>100</v>
      </c>
      <c r="AJ30" s="10">
        <v>43</v>
      </c>
      <c r="AK30" s="9">
        <v>50</v>
      </c>
      <c r="AM30">
        <f>MAX(B30:AK30)</f>
        <v>100</v>
      </c>
      <c r="AN30">
        <f>MIN(B30:AK30)</f>
        <v>0</v>
      </c>
    </row>
    <row r="31" spans="1:40" ht="15.75" customHeight="1">
      <c r="A31" s="26" t="s">
        <v>61</v>
      </c>
      <c r="B31" s="22">
        <f>(B30-$AN$30)/($AM$30-$AN$30)</f>
        <v>1</v>
      </c>
      <c r="C31" s="22">
        <f t="shared" ref="C31:AK31" si="13">(C30-$AN$30)/($AM$30-$AN$30)</f>
        <v>0.25</v>
      </c>
      <c r="D31" s="22">
        <f t="shared" si="13"/>
        <v>0.86</v>
      </c>
      <c r="E31" s="22">
        <f t="shared" si="13"/>
        <v>1</v>
      </c>
      <c r="F31" s="22">
        <f t="shared" si="13"/>
        <v>1</v>
      </c>
      <c r="G31" s="22">
        <f t="shared" si="13"/>
        <v>1</v>
      </c>
      <c r="H31" s="22">
        <f t="shared" si="13"/>
        <v>0</v>
      </c>
      <c r="I31" s="22">
        <f t="shared" si="13"/>
        <v>0.75</v>
      </c>
      <c r="J31" s="22">
        <f t="shared" si="13"/>
        <v>0.75</v>
      </c>
      <c r="K31" s="22">
        <f t="shared" si="13"/>
        <v>0.75</v>
      </c>
      <c r="L31" s="22">
        <f t="shared" si="13"/>
        <v>0.75</v>
      </c>
      <c r="M31" s="22">
        <f t="shared" si="13"/>
        <v>1</v>
      </c>
      <c r="N31" s="22">
        <f t="shared" si="13"/>
        <v>0.71</v>
      </c>
      <c r="O31" s="22">
        <f t="shared" si="13"/>
        <v>1</v>
      </c>
      <c r="P31" s="22">
        <f t="shared" si="13"/>
        <v>0.75</v>
      </c>
      <c r="Q31" s="22">
        <f t="shared" si="13"/>
        <v>0.5</v>
      </c>
      <c r="R31" s="22">
        <f t="shared" si="13"/>
        <v>1</v>
      </c>
      <c r="S31" s="22">
        <f t="shared" si="13"/>
        <v>1</v>
      </c>
      <c r="T31" s="22">
        <f t="shared" si="13"/>
        <v>0.5</v>
      </c>
      <c r="U31" s="22">
        <f t="shared" si="13"/>
        <v>0.75</v>
      </c>
      <c r="V31" s="22">
        <f t="shared" si="13"/>
        <v>0.5</v>
      </c>
      <c r="W31" s="22">
        <f t="shared" si="13"/>
        <v>1</v>
      </c>
      <c r="X31" s="22">
        <f t="shared" si="13"/>
        <v>1</v>
      </c>
      <c r="Y31" s="22">
        <f t="shared" si="13"/>
        <v>0.86</v>
      </c>
      <c r="Z31" s="22">
        <f t="shared" si="13"/>
        <v>0.86</v>
      </c>
      <c r="AA31" s="22">
        <f t="shared" si="13"/>
        <v>1</v>
      </c>
      <c r="AB31" s="22">
        <f t="shared" si="13"/>
        <v>1</v>
      </c>
      <c r="AC31" s="22">
        <f t="shared" si="13"/>
        <v>0.5</v>
      </c>
      <c r="AD31" s="22">
        <f t="shared" si="13"/>
        <v>0.25</v>
      </c>
      <c r="AE31" s="22">
        <f t="shared" si="13"/>
        <v>1</v>
      </c>
      <c r="AF31" s="22">
        <f t="shared" si="13"/>
        <v>0.75</v>
      </c>
      <c r="AG31" s="22">
        <f t="shared" si="13"/>
        <v>0.5</v>
      </c>
      <c r="AH31" s="22">
        <f t="shared" si="13"/>
        <v>1</v>
      </c>
      <c r="AI31" s="22">
        <f t="shared" si="13"/>
        <v>1</v>
      </c>
      <c r="AJ31" s="22">
        <f t="shared" si="13"/>
        <v>0.43</v>
      </c>
      <c r="AK31" s="22">
        <f t="shared" si="13"/>
        <v>0.5</v>
      </c>
    </row>
    <row r="32" spans="1:40" ht="15.75" customHeight="1">
      <c r="A32" s="16" t="s">
        <v>65</v>
      </c>
      <c r="B32" s="25">
        <f>SUM(B5,B7,B9,B11,B13,B15,B17,B19,B21,B23,B25,B27,B29,B31)</f>
        <v>2.2777332410498117</v>
      </c>
      <c r="C32" s="25">
        <f>SUM(C5,C7,C9,C11,C13,C15,C17,C19,C21,C23,C25,C27,C29,C31)</f>
        <v>4.6250240649872616</v>
      </c>
      <c r="D32" s="25">
        <f t="shared" ref="D32:AK32" si="14">SUM(D5,D7,D9,D11,D13,D15,D17,D19,D21,D23,D25,D27,D29,D31)</f>
        <v>1.6835367055891841</v>
      </c>
      <c r="E32" s="25">
        <f t="shared" si="14"/>
        <v>3.0420175105092899</v>
      </c>
      <c r="F32" s="25">
        <f t="shared" si="14"/>
        <v>2.6264813143045291</v>
      </c>
      <c r="G32" s="25">
        <f t="shared" si="14"/>
        <v>3.1399578802769645</v>
      </c>
      <c r="H32" s="25">
        <f t="shared" si="14"/>
        <v>1.2410696220208988</v>
      </c>
      <c r="I32" s="25">
        <f t="shared" si="14"/>
        <v>1.0678868056552748</v>
      </c>
      <c r="J32" s="25">
        <f t="shared" si="14"/>
        <v>5.7272813493058186</v>
      </c>
      <c r="K32" s="25">
        <f t="shared" si="14"/>
        <v>3.0418611777924403</v>
      </c>
      <c r="L32" s="25">
        <f t="shared" si="14"/>
        <v>5.2978950045632542</v>
      </c>
      <c r="M32" s="25">
        <f t="shared" si="14"/>
        <v>4.5106739503571891</v>
      </c>
      <c r="N32" s="25">
        <f t="shared" si="14"/>
        <v>2.7654165405068944</v>
      </c>
      <c r="O32" s="25">
        <f t="shared" si="14"/>
        <v>3.4358405069102158</v>
      </c>
      <c r="P32" s="25">
        <f t="shared" si="14"/>
        <v>2.0379192326728388</v>
      </c>
      <c r="Q32" s="25">
        <f t="shared" si="14"/>
        <v>7.2017446520011275</v>
      </c>
      <c r="R32" s="25">
        <f t="shared" si="14"/>
        <v>5.788787301637508</v>
      </c>
      <c r="S32" s="25">
        <f t="shared" si="14"/>
        <v>2.4398908835441144</v>
      </c>
      <c r="T32" s="25">
        <f t="shared" si="14"/>
        <v>1.2960398797459871</v>
      </c>
      <c r="U32" s="25">
        <f t="shared" si="14"/>
        <v>4.9206971279416347</v>
      </c>
      <c r="V32" s="25">
        <f t="shared" si="14"/>
        <v>7.1498927986074223</v>
      </c>
      <c r="W32" s="25">
        <f t="shared" si="14"/>
        <v>1.9265826484750723</v>
      </c>
      <c r="X32" s="25">
        <f t="shared" si="14"/>
        <v>1.8411017168456993</v>
      </c>
      <c r="Y32" s="25">
        <f t="shared" si="14"/>
        <v>2.4795593756041985</v>
      </c>
      <c r="Z32" s="25">
        <f t="shared" si="14"/>
        <v>1.6263476145881981</v>
      </c>
      <c r="AA32" s="25">
        <f t="shared" si="14"/>
        <v>3.3864584308978669</v>
      </c>
      <c r="AB32" s="25">
        <f t="shared" si="14"/>
        <v>2.5781057117721282</v>
      </c>
      <c r="AC32" s="25">
        <f t="shared" si="14"/>
        <v>4.0641958978506345</v>
      </c>
      <c r="AD32" s="25">
        <f t="shared" si="14"/>
        <v>4.1084979534154984</v>
      </c>
      <c r="AE32" s="25">
        <f t="shared" si="14"/>
        <v>2.5949589189743385</v>
      </c>
      <c r="AF32" s="25">
        <f t="shared" si="14"/>
        <v>8.9252763304457172</v>
      </c>
      <c r="AG32" s="25">
        <f t="shared" si="14"/>
        <v>4.3451721558536711</v>
      </c>
      <c r="AH32" s="25">
        <f t="shared" si="14"/>
        <v>1.5780132798842157</v>
      </c>
      <c r="AI32" s="25">
        <f t="shared" si="14"/>
        <v>7.5224200700109893</v>
      </c>
      <c r="AJ32" s="25">
        <f t="shared" si="14"/>
        <v>3.1618755397651404</v>
      </c>
      <c r="AK32" s="25">
        <f t="shared" si="14"/>
        <v>3.1907308084840582</v>
      </c>
    </row>
    <row r="33" spans="1:12" ht="15.75" customHeight="1">
      <c r="A33" s="18"/>
      <c r="L33" s="1"/>
    </row>
    <row r="34" spans="1:12" ht="15.75" customHeight="1">
      <c r="A34" s="18"/>
      <c r="L34" s="1"/>
    </row>
    <row r="35" spans="1:12" ht="15.75" customHeight="1">
      <c r="L35" s="1"/>
    </row>
    <row r="36" spans="1:12" ht="15.75" customHeight="1">
      <c r="B36" s="5" t="s">
        <v>3</v>
      </c>
      <c r="L36" s="1"/>
    </row>
    <row r="37" spans="1:12" ht="15.75" customHeight="1">
      <c r="B37" s="5" t="s">
        <v>10</v>
      </c>
      <c r="L37" s="1"/>
    </row>
    <row r="38" spans="1:12" ht="15.75" customHeight="1">
      <c r="L38" s="1"/>
    </row>
    <row r="39" spans="1:12" ht="15.75" customHeight="1">
      <c r="L39" s="1"/>
    </row>
    <row r="40" spans="1:12" ht="15.75" customHeight="1">
      <c r="L40" s="1"/>
    </row>
    <row r="41" spans="1:12" ht="15.75" customHeight="1">
      <c r="L41" s="1"/>
    </row>
    <row r="42" spans="1:12" ht="15.75" customHeight="1">
      <c r="L42" s="1"/>
    </row>
    <row r="43" spans="1:12" ht="15.75" customHeight="1">
      <c r="L43" s="1"/>
    </row>
    <row r="44" spans="1:12" ht="15.75" customHeight="1">
      <c r="L44" s="1"/>
    </row>
    <row r="45" spans="1:12" ht="15.75" customHeight="1">
      <c r="L45" s="1"/>
    </row>
    <row r="46" spans="1:12" ht="15.75" customHeight="1">
      <c r="L46" s="1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FC70E-4292-4723-980A-23CECF79F7EB}">
  <dimension ref="A1:AM38"/>
  <sheetViews>
    <sheetView workbookViewId="0">
      <selection activeCell="F28" sqref="F28"/>
    </sheetView>
  </sheetViews>
  <sheetFormatPr defaultRowHeight="12.75"/>
  <cols>
    <col min="2" max="2" width="46.7109375" customWidth="1"/>
    <col min="3" max="3" width="28.5703125" customWidth="1"/>
    <col min="7" max="7" width="5.5703125" bestFit="1" customWidth="1"/>
    <col min="8" max="8" width="4.5703125" bestFit="1" customWidth="1"/>
    <col min="13" max="13" width="4.42578125" bestFit="1" customWidth="1"/>
  </cols>
  <sheetData>
    <row r="1" spans="1:39" s="15" customFormat="1">
      <c r="A1" s="28" t="s">
        <v>0</v>
      </c>
      <c r="B1" s="28" t="s">
        <v>1</v>
      </c>
      <c r="C1" s="28"/>
      <c r="D1" s="28" t="s">
        <v>36</v>
      </c>
      <c r="E1" s="28" t="s">
        <v>2</v>
      </c>
      <c r="F1" s="28" t="s">
        <v>4</v>
      </c>
      <c r="G1" s="28" t="s">
        <v>5</v>
      </c>
      <c r="H1" s="28" t="s">
        <v>6</v>
      </c>
      <c r="I1" s="28" t="s">
        <v>37</v>
      </c>
      <c r="J1" s="28" t="s">
        <v>7</v>
      </c>
      <c r="K1" s="28" t="s">
        <v>38</v>
      </c>
      <c r="L1" s="28" t="s">
        <v>39</v>
      </c>
      <c r="M1" s="28" t="s">
        <v>8</v>
      </c>
      <c r="N1" s="28" t="s">
        <v>9</v>
      </c>
      <c r="O1" s="28" t="s">
        <v>11</v>
      </c>
      <c r="P1" s="28" t="s">
        <v>12</v>
      </c>
      <c r="Q1" s="28" t="s">
        <v>40</v>
      </c>
      <c r="R1" s="28" t="s">
        <v>13</v>
      </c>
      <c r="S1" s="28" t="s">
        <v>14</v>
      </c>
      <c r="T1" s="28" t="s">
        <v>15</v>
      </c>
      <c r="U1" s="28" t="s">
        <v>41</v>
      </c>
      <c r="V1" s="28" t="s">
        <v>42</v>
      </c>
      <c r="W1" s="28" t="s">
        <v>16</v>
      </c>
      <c r="X1" s="28" t="s">
        <v>17</v>
      </c>
      <c r="Y1" s="28" t="s">
        <v>19</v>
      </c>
      <c r="Z1" s="28" t="s">
        <v>20</v>
      </c>
      <c r="AA1" s="28" t="s">
        <v>21</v>
      </c>
      <c r="AB1" s="28" t="s">
        <v>22</v>
      </c>
      <c r="AC1" s="28" t="s">
        <v>23</v>
      </c>
      <c r="AD1" s="28" t="s">
        <v>43</v>
      </c>
      <c r="AE1" s="28" t="s">
        <v>25</v>
      </c>
      <c r="AF1" s="28" t="s">
        <v>26</v>
      </c>
      <c r="AG1" s="28" t="s">
        <v>27</v>
      </c>
      <c r="AH1" s="28" t="s">
        <v>28</v>
      </c>
      <c r="AI1" s="28" t="s">
        <v>30</v>
      </c>
      <c r="AJ1" s="28" t="s">
        <v>32</v>
      </c>
      <c r="AK1" s="28" t="s">
        <v>33</v>
      </c>
      <c r="AL1" s="28" t="s">
        <v>34</v>
      </c>
      <c r="AM1" s="28" t="s">
        <v>35</v>
      </c>
    </row>
    <row r="2" spans="1:39" s="27" customFormat="1" ht="11.25">
      <c r="A2" s="29">
        <v>1</v>
      </c>
      <c r="B2" s="28" t="s">
        <v>84</v>
      </c>
      <c r="C2" s="28"/>
      <c r="D2" s="29">
        <v>0</v>
      </c>
      <c r="E2" s="29">
        <v>1</v>
      </c>
      <c r="F2" s="29">
        <v>1</v>
      </c>
      <c r="G2" s="29">
        <v>1</v>
      </c>
      <c r="H2" s="29">
        <v>1</v>
      </c>
      <c r="I2" s="29">
        <v>0</v>
      </c>
      <c r="J2" s="29">
        <v>1</v>
      </c>
      <c r="K2" s="29">
        <v>0</v>
      </c>
      <c r="L2" s="29">
        <v>0</v>
      </c>
      <c r="M2" s="29">
        <v>1</v>
      </c>
      <c r="N2" s="29">
        <v>1</v>
      </c>
      <c r="O2" s="29">
        <v>1</v>
      </c>
      <c r="P2" s="29">
        <v>1</v>
      </c>
      <c r="Q2" s="29">
        <v>0</v>
      </c>
      <c r="R2" s="29">
        <v>1</v>
      </c>
      <c r="S2" s="29">
        <v>1</v>
      </c>
      <c r="T2" s="29">
        <v>1</v>
      </c>
      <c r="U2" s="29">
        <v>0</v>
      </c>
      <c r="V2" s="29">
        <v>0</v>
      </c>
      <c r="W2" s="29">
        <v>1</v>
      </c>
      <c r="X2" s="29">
        <v>1</v>
      </c>
      <c r="Y2" s="29">
        <v>1</v>
      </c>
      <c r="Z2" s="29">
        <v>1</v>
      </c>
      <c r="AA2" s="29">
        <v>1</v>
      </c>
      <c r="AB2" s="29">
        <v>1</v>
      </c>
      <c r="AC2" s="29">
        <v>1</v>
      </c>
      <c r="AD2" s="29">
        <v>0</v>
      </c>
      <c r="AE2" s="29">
        <v>1</v>
      </c>
      <c r="AF2" s="29">
        <v>1</v>
      </c>
      <c r="AG2" s="29">
        <v>1</v>
      </c>
      <c r="AH2" s="29">
        <v>1</v>
      </c>
      <c r="AI2" s="29">
        <v>1</v>
      </c>
      <c r="AJ2" s="29">
        <v>1</v>
      </c>
      <c r="AK2" s="29">
        <v>1</v>
      </c>
      <c r="AL2" s="29">
        <v>1</v>
      </c>
      <c r="AM2" s="29">
        <v>1</v>
      </c>
    </row>
    <row r="3" spans="1:39">
      <c r="A3" s="29">
        <v>2</v>
      </c>
      <c r="B3" s="28" t="s">
        <v>87</v>
      </c>
      <c r="C3" s="28" t="s">
        <v>92</v>
      </c>
      <c r="D3" s="30">
        <v>0.54624157163073339</v>
      </c>
      <c r="E3" s="30">
        <v>0.22042786980770829</v>
      </c>
      <c r="F3" s="30">
        <v>0.13901606592857735</v>
      </c>
      <c r="G3" s="30">
        <v>0.11828852076916675</v>
      </c>
      <c r="H3" s="30">
        <v>0</v>
      </c>
      <c r="I3" s="30">
        <v>0.57521018896195786</v>
      </c>
      <c r="J3" s="30">
        <v>0.12519770248897027</v>
      </c>
      <c r="K3" s="30">
        <v>0.13518688087904765</v>
      </c>
      <c r="L3" s="30">
        <v>1</v>
      </c>
      <c r="M3" s="30">
        <v>0.91359360692583036</v>
      </c>
      <c r="N3" s="30">
        <v>0.28785482394073081</v>
      </c>
      <c r="O3" s="30">
        <v>0.46358112045284267</v>
      </c>
      <c r="P3" s="30">
        <v>0.38974444351952053</v>
      </c>
      <c r="Q3" s="30">
        <v>0.25156080912344952</v>
      </c>
      <c r="R3" s="30">
        <v>5.1527511862149322E-2</v>
      </c>
      <c r="S3" s="30">
        <v>0.38549904270373758</v>
      </c>
      <c r="T3" s="30">
        <v>0.48564055606426371</v>
      </c>
      <c r="U3" s="30">
        <v>0.81828019645384176</v>
      </c>
      <c r="V3" s="30">
        <v>0.28527428618996092</v>
      </c>
      <c r="W3" s="30">
        <v>0.11778906184966285</v>
      </c>
      <c r="X3" s="30">
        <v>0.36302339132606337</v>
      </c>
      <c r="Y3" s="30">
        <v>0.23624406892533092</v>
      </c>
      <c r="Z3" s="30">
        <v>0.16190793307250476</v>
      </c>
      <c r="AA3" s="30">
        <v>0.47182219262465663</v>
      </c>
      <c r="AB3" s="30">
        <v>0.26030134021476736</v>
      </c>
      <c r="AC3" s="30">
        <v>0.1370182302505619</v>
      </c>
      <c r="AD3" s="30">
        <v>0.20860734204611667</v>
      </c>
      <c r="AE3" s="30">
        <v>0.380254724048947</v>
      </c>
      <c r="AF3" s="30">
        <v>0.17639224173811702</v>
      </c>
      <c r="AG3" s="30">
        <v>0.41305252642970114</v>
      </c>
      <c r="AH3" s="30">
        <v>0.33680179805211025</v>
      </c>
      <c r="AI3" s="30">
        <v>0.43652709564638303</v>
      </c>
      <c r="AJ3" s="30">
        <v>8.5573961541663149E-2</v>
      </c>
      <c r="AK3" s="30">
        <v>0.10705069508032965</v>
      </c>
      <c r="AL3" s="30">
        <v>0.34412719553816695</v>
      </c>
      <c r="AM3" s="30">
        <v>0.18363439607092313</v>
      </c>
    </row>
    <row r="4" spans="1:39">
      <c r="A4" s="29">
        <v>3</v>
      </c>
      <c r="B4" s="28" t="s">
        <v>87</v>
      </c>
      <c r="C4" s="28" t="s">
        <v>93</v>
      </c>
      <c r="D4" s="30">
        <v>2.5974025974025974E-3</v>
      </c>
      <c r="E4" s="30">
        <v>0.25714285714285712</v>
      </c>
      <c r="F4" s="30">
        <v>7.1881606765327689E-3</v>
      </c>
      <c r="G4" s="30">
        <v>0.15964965267290848</v>
      </c>
      <c r="H4" s="30">
        <v>0.43418906674720631</v>
      </c>
      <c r="I4" s="30">
        <v>1.0570824524312896E-2</v>
      </c>
      <c r="J4" s="30">
        <v>0.1284808215040773</v>
      </c>
      <c r="K4" s="30">
        <v>5.1948051948051948E-3</v>
      </c>
      <c r="L4" s="30">
        <v>0.21274539414074295</v>
      </c>
      <c r="M4" s="30">
        <v>1.4195107218363033E-2</v>
      </c>
      <c r="N4" s="30">
        <v>0.39136212624584721</v>
      </c>
      <c r="O4" s="30">
        <v>0.21522198731501058</v>
      </c>
      <c r="P4" s="30">
        <v>5.33373603141045E-2</v>
      </c>
      <c r="Q4" s="30">
        <v>7.0673512533977648E-2</v>
      </c>
      <c r="R4" s="30">
        <v>0.14938085170643309</v>
      </c>
      <c r="S4" s="30">
        <v>0.41479915433403802</v>
      </c>
      <c r="T4" s="30">
        <v>0.24953186348535186</v>
      </c>
      <c r="U4" s="30">
        <v>2.7786167321051042E-3</v>
      </c>
      <c r="V4" s="30">
        <v>0</v>
      </c>
      <c r="W4" s="30">
        <v>0.35989127151917844</v>
      </c>
      <c r="X4" s="30">
        <v>0.7441860465116279</v>
      </c>
      <c r="Y4" s="30">
        <v>1.437632135306554E-2</v>
      </c>
      <c r="Z4" s="30">
        <v>1.5463606161280579E-2</v>
      </c>
      <c r="AA4" s="30">
        <v>7.9130172153427953E-3</v>
      </c>
      <c r="AB4" s="30">
        <v>9.9063726970703703E-3</v>
      </c>
      <c r="AC4" s="30">
        <v>0.21159770462096042</v>
      </c>
      <c r="AD4" s="30">
        <v>6.6445182724252476E-3</v>
      </c>
      <c r="AE4" s="30">
        <v>0.19613409845967983</v>
      </c>
      <c r="AF4" s="30">
        <v>0.39220779220779223</v>
      </c>
      <c r="AG4" s="30">
        <v>4.2887345212926607E-3</v>
      </c>
      <c r="AH4" s="30">
        <v>0.46203563877982484</v>
      </c>
      <c r="AI4" s="30">
        <v>0.24294774992449408</v>
      </c>
      <c r="AJ4" s="30">
        <v>1.9389912413168224E-2</v>
      </c>
      <c r="AK4" s="30">
        <v>1</v>
      </c>
      <c r="AL4" s="30">
        <v>7.3029296285110235E-2</v>
      </c>
      <c r="AM4" s="30">
        <v>0.47514346118997286</v>
      </c>
    </row>
    <row r="5" spans="1:39">
      <c r="A5" s="29">
        <v>4</v>
      </c>
      <c r="B5" s="28" t="s">
        <v>87</v>
      </c>
      <c r="C5" s="28" t="s">
        <v>94</v>
      </c>
      <c r="D5" s="30">
        <v>2.6704366949418788E-3</v>
      </c>
      <c r="E5" s="30">
        <v>0.27874646559849203</v>
      </c>
      <c r="F5" s="30">
        <v>6.9902607602890356E-3</v>
      </c>
      <c r="G5" s="30">
        <v>0.15771284951303802</v>
      </c>
      <c r="H5" s="30">
        <v>0.4176877159912033</v>
      </c>
      <c r="I5" s="30">
        <v>1.0524662268300346E-2</v>
      </c>
      <c r="J5" s="30">
        <v>0.13564247565190074</v>
      </c>
      <c r="K5" s="30">
        <v>6.2833804586867733E-3</v>
      </c>
      <c r="L5" s="30">
        <v>0.25416273955388002</v>
      </c>
      <c r="M5" s="30">
        <v>1.8535972353125985E-2</v>
      </c>
      <c r="N5" s="30">
        <v>0.43347470939365379</v>
      </c>
      <c r="O5" s="30">
        <v>0.22258875274897896</v>
      </c>
      <c r="P5" s="30">
        <v>5.1602262016965127E-2</v>
      </c>
      <c r="Q5" s="30">
        <v>7.6500157084511466E-2</v>
      </c>
      <c r="R5" s="30">
        <v>0.14962299717247879</v>
      </c>
      <c r="S5" s="30">
        <v>0.44399937166195419</v>
      </c>
      <c r="T5" s="30">
        <v>0.27654728243795162</v>
      </c>
      <c r="U5" s="30">
        <v>3.0631479736098022E-3</v>
      </c>
      <c r="V5" s="30">
        <v>0</v>
      </c>
      <c r="W5" s="30">
        <v>0.38328620797989316</v>
      </c>
      <c r="X5" s="30">
        <v>0.84456487590323603</v>
      </c>
      <c r="Y5" s="30">
        <v>1.7672007540056552E-2</v>
      </c>
      <c r="Z5" s="30">
        <v>1.6022620169651274E-2</v>
      </c>
      <c r="AA5" s="30">
        <v>9.4250706880301596E-3</v>
      </c>
      <c r="AB5" s="30">
        <v>1.2645303173107131E-2</v>
      </c>
      <c r="AC5" s="30">
        <v>0.20067546339930881</v>
      </c>
      <c r="AD5" s="30">
        <v>8.1683945962928058E-3</v>
      </c>
      <c r="AE5" s="30">
        <v>0.20962928055293747</v>
      </c>
      <c r="AF5" s="30">
        <v>0.40080113100848258</v>
      </c>
      <c r="AG5" s="30">
        <v>4.7910775997486652E-3</v>
      </c>
      <c r="AH5" s="30">
        <v>0.48735469682689286</v>
      </c>
      <c r="AI5" s="30">
        <v>0.2792177191328935</v>
      </c>
      <c r="AJ5" s="30">
        <v>1.6729500471253538E-2</v>
      </c>
      <c r="AK5" s="30">
        <v>1</v>
      </c>
      <c r="AL5" s="30">
        <v>7.587181903864279E-2</v>
      </c>
      <c r="AM5" s="30">
        <v>0.49371661954131324</v>
      </c>
    </row>
    <row r="6" spans="1:39">
      <c r="A6" s="29">
        <v>5</v>
      </c>
      <c r="B6" s="28" t="s">
        <v>88</v>
      </c>
      <c r="C6" s="28" t="s">
        <v>95</v>
      </c>
      <c r="D6" s="30">
        <v>2.1645021645021645E-3</v>
      </c>
      <c r="E6" s="30">
        <v>0.60173160173160178</v>
      </c>
      <c r="F6" s="30">
        <v>0</v>
      </c>
      <c r="G6" s="30">
        <v>2.3809523809523808E-2</v>
      </c>
      <c r="H6" s="30">
        <v>0.13203463203463203</v>
      </c>
      <c r="I6" s="30">
        <v>0.15151515151515152</v>
      </c>
      <c r="J6" s="30">
        <v>4.329004329004329E-3</v>
      </c>
      <c r="K6" s="30">
        <v>1.0822510822510822E-2</v>
      </c>
      <c r="L6" s="30">
        <v>3.2467532467532464E-2</v>
      </c>
      <c r="M6" s="30">
        <v>1.2987012987012988E-2</v>
      </c>
      <c r="N6" s="30">
        <v>0.51731601731601728</v>
      </c>
      <c r="O6" s="30">
        <v>0.17965367965367965</v>
      </c>
      <c r="P6" s="30">
        <v>3.2467532467532464E-2</v>
      </c>
      <c r="Q6" s="30">
        <v>2.3809523809523808E-2</v>
      </c>
      <c r="R6" s="30">
        <v>6.7099567099567103E-2</v>
      </c>
      <c r="S6" s="30">
        <v>0.44588744588744589</v>
      </c>
      <c r="T6" s="30">
        <v>0.30519480519480519</v>
      </c>
      <c r="U6" s="30">
        <v>0</v>
      </c>
      <c r="V6" s="30">
        <v>0</v>
      </c>
      <c r="W6" s="30">
        <v>0.37878787878787878</v>
      </c>
      <c r="X6" s="30">
        <v>0.8614718614718615</v>
      </c>
      <c r="Y6" s="30">
        <v>1.5151515151515152E-2</v>
      </c>
      <c r="Z6" s="30">
        <v>2.1645021645021645E-3</v>
      </c>
      <c r="AA6" s="30">
        <v>2.1645021645021645E-3</v>
      </c>
      <c r="AB6" s="30">
        <v>0</v>
      </c>
      <c r="AC6" s="30">
        <v>0.18614718614718614</v>
      </c>
      <c r="AD6" s="30">
        <v>3.0303030303030304E-2</v>
      </c>
      <c r="AE6" s="30">
        <v>0.17965367965367965</v>
      </c>
      <c r="AF6" s="30">
        <v>0.19264069264069264</v>
      </c>
      <c r="AG6" s="30">
        <v>6.4935064935064939E-3</v>
      </c>
      <c r="AH6" s="30">
        <v>1</v>
      </c>
      <c r="AI6" s="30">
        <v>0.40259740259740262</v>
      </c>
      <c r="AJ6" s="30">
        <v>1.5151515151515152E-2</v>
      </c>
      <c r="AK6" s="30">
        <v>0.42857142857142855</v>
      </c>
      <c r="AL6" s="30">
        <v>6.7099567099567103E-2</v>
      </c>
      <c r="AM6" s="30">
        <v>0.16883116883116883</v>
      </c>
    </row>
    <row r="7" spans="1:39">
      <c r="A7" s="29">
        <v>6</v>
      </c>
      <c r="B7" s="28" t="s">
        <v>88</v>
      </c>
      <c r="C7" s="28" t="s">
        <v>70</v>
      </c>
      <c r="D7" s="30">
        <v>0</v>
      </c>
      <c r="E7" s="30">
        <v>0.70588235294117652</v>
      </c>
      <c r="F7" s="30">
        <v>0.11764705882352941</v>
      </c>
      <c r="G7" s="30">
        <v>0.41176470588235292</v>
      </c>
      <c r="H7" s="30">
        <v>0.17647058823529413</v>
      </c>
      <c r="I7" s="30">
        <v>5.8823529411764705E-2</v>
      </c>
      <c r="J7" s="30">
        <v>0.23529411764705882</v>
      </c>
      <c r="K7" s="30">
        <v>0</v>
      </c>
      <c r="L7" s="30">
        <v>0.47058823529411764</v>
      </c>
      <c r="M7" s="30">
        <v>0.11764705882352941</v>
      </c>
      <c r="N7" s="30">
        <v>0.88235294117647056</v>
      </c>
      <c r="O7" s="30">
        <v>0.47058823529411764</v>
      </c>
      <c r="P7" s="30">
        <v>0.41176470588235292</v>
      </c>
      <c r="Q7" s="30">
        <v>0.11764705882352941</v>
      </c>
      <c r="R7" s="30">
        <v>0.35294117647058826</v>
      </c>
      <c r="S7" s="30">
        <v>0.41176470588235292</v>
      </c>
      <c r="T7" s="30">
        <v>0.29411764705882354</v>
      </c>
      <c r="U7" s="30">
        <v>0</v>
      </c>
      <c r="V7" s="30">
        <v>0</v>
      </c>
      <c r="W7" s="30">
        <v>0.58823529411764708</v>
      </c>
      <c r="X7" s="30">
        <v>0.47058823529411764</v>
      </c>
      <c r="Y7" s="30">
        <v>0.17647058823529413</v>
      </c>
      <c r="Z7" s="30">
        <v>0.11764705882352941</v>
      </c>
      <c r="AA7" s="30">
        <v>5.8823529411764705E-2</v>
      </c>
      <c r="AB7" s="30">
        <v>5.8823529411764705E-2</v>
      </c>
      <c r="AC7" s="30">
        <v>0.47058823529411764</v>
      </c>
      <c r="AD7" s="30">
        <v>5.8823529411764705E-2</v>
      </c>
      <c r="AE7" s="30">
        <v>0.47058823529411764</v>
      </c>
      <c r="AF7" s="30">
        <v>0.6470588235294118</v>
      </c>
      <c r="AG7" s="30">
        <v>5.8823529411764705E-2</v>
      </c>
      <c r="AH7" s="30">
        <v>1</v>
      </c>
      <c r="AI7" s="30">
        <v>0.29411764705882354</v>
      </c>
      <c r="AJ7" s="30">
        <v>0.11764705882352941</v>
      </c>
      <c r="AK7" s="30">
        <v>0.82352941176470584</v>
      </c>
      <c r="AL7" s="30">
        <v>0.29411764705882354</v>
      </c>
      <c r="AM7" s="30">
        <v>0.35294117647058826</v>
      </c>
    </row>
    <row r="8" spans="1:39">
      <c r="A8" s="29">
        <v>7</v>
      </c>
      <c r="B8" s="28" t="s">
        <v>88</v>
      </c>
      <c r="C8" s="28" t="s">
        <v>71</v>
      </c>
      <c r="D8" s="30">
        <v>0.41063781321184512</v>
      </c>
      <c r="E8" s="30">
        <v>0.26788154897494304</v>
      </c>
      <c r="F8" s="30">
        <v>0.28223234624145782</v>
      </c>
      <c r="G8" s="30">
        <v>2.2779043280182152E-4</v>
      </c>
      <c r="H8" s="30">
        <v>6.605922551252824E-3</v>
      </c>
      <c r="I8" s="30">
        <v>0.56788154897494325</v>
      </c>
      <c r="J8" s="30">
        <v>3.8268792710706157E-2</v>
      </c>
      <c r="K8" s="30">
        <v>0.10022779043280183</v>
      </c>
      <c r="L8" s="30">
        <v>0.47849658314350801</v>
      </c>
      <c r="M8" s="30">
        <v>0.63553530751708431</v>
      </c>
      <c r="N8" s="30">
        <v>0.26628701594533033</v>
      </c>
      <c r="O8" s="30">
        <v>0.26879271070615035</v>
      </c>
      <c r="P8" s="30">
        <v>0.54601366742596824</v>
      </c>
      <c r="Q8" s="30">
        <v>0.2528473804100228</v>
      </c>
      <c r="R8" s="30">
        <v>4.6241457858769909E-2</v>
      </c>
      <c r="S8" s="30">
        <v>0.48815489749430507</v>
      </c>
      <c r="T8" s="30">
        <v>1</v>
      </c>
      <c r="U8" s="30">
        <v>0.60410022779043282</v>
      </c>
      <c r="V8" s="30">
        <v>0.50865603644646917</v>
      </c>
      <c r="W8" s="30">
        <v>6.8337129840546455E-3</v>
      </c>
      <c r="X8" s="30">
        <v>0.38838268792710717</v>
      </c>
      <c r="Y8" s="30">
        <v>0.35945330296127564</v>
      </c>
      <c r="Z8" s="30">
        <v>0.12779043280182234</v>
      </c>
      <c r="AA8" s="30">
        <v>0.47676537585421408</v>
      </c>
      <c r="AB8" s="30">
        <v>0.36173120728929387</v>
      </c>
      <c r="AC8" s="30">
        <v>8.51936218678815E-2</v>
      </c>
      <c r="AD8" s="30">
        <v>0.7198177676537586</v>
      </c>
      <c r="AE8" s="30">
        <v>0.34555808656036441</v>
      </c>
      <c r="AF8" s="30">
        <v>9.248291571753986E-2</v>
      </c>
      <c r="AG8" s="30">
        <v>0.69339407744874715</v>
      </c>
      <c r="AH8" s="30">
        <v>0.66856492027334857</v>
      </c>
      <c r="AI8" s="30">
        <v>0.37289293849658306</v>
      </c>
      <c r="AJ8" s="30">
        <v>8.0410022779043244E-2</v>
      </c>
      <c r="AK8" s="30">
        <v>0</v>
      </c>
      <c r="AL8" s="30">
        <v>0.23599088838268789</v>
      </c>
      <c r="AM8" s="30">
        <v>0.16492027334851936</v>
      </c>
    </row>
    <row r="9" spans="1:39">
      <c r="A9" s="29">
        <v>8</v>
      </c>
      <c r="B9" s="28" t="s">
        <v>89</v>
      </c>
      <c r="C9" s="28" t="s">
        <v>72</v>
      </c>
      <c r="D9" s="30">
        <v>2.0396270396270395E-3</v>
      </c>
      <c r="E9" s="30">
        <v>0.15763403263403264</v>
      </c>
      <c r="F9" s="30">
        <v>5.8275058275058275E-4</v>
      </c>
      <c r="G9" s="30">
        <v>3.6130536130536128E-2</v>
      </c>
      <c r="H9" s="30">
        <v>9.0617715617715616E-2</v>
      </c>
      <c r="I9" s="30">
        <v>1.9813519813519812E-2</v>
      </c>
      <c r="J9" s="30">
        <v>5.6526806526806528E-2</v>
      </c>
      <c r="K9" s="30">
        <v>2.9137529137529138E-4</v>
      </c>
      <c r="L9" s="30">
        <v>0.54545454545454541</v>
      </c>
      <c r="M9" s="30">
        <v>2.505827505827506E-2</v>
      </c>
      <c r="N9" s="30">
        <v>0.44230769230769229</v>
      </c>
      <c r="O9" s="30">
        <v>0.30040792540792538</v>
      </c>
      <c r="P9" s="30">
        <v>1.5734265734265736E-2</v>
      </c>
      <c r="Q9" s="30">
        <v>3.2342657342657344E-2</v>
      </c>
      <c r="R9" s="30">
        <v>5.5069930069930072E-2</v>
      </c>
      <c r="S9" s="30">
        <v>0.79574592074592077</v>
      </c>
      <c r="T9" s="30">
        <v>0.40034965034965037</v>
      </c>
      <c r="U9" s="30">
        <v>0</v>
      </c>
      <c r="V9" s="30">
        <v>2.9137529137529138E-4</v>
      </c>
      <c r="W9" s="30">
        <v>0.20163170163170163</v>
      </c>
      <c r="X9" s="30">
        <v>1</v>
      </c>
      <c r="Y9" s="30">
        <v>4.662004662004662E-3</v>
      </c>
      <c r="Z9" s="30">
        <v>2.0396270396270395E-3</v>
      </c>
      <c r="AA9" s="30">
        <v>2.0396270396270395E-3</v>
      </c>
      <c r="AB9" s="30">
        <v>2.6223776223776225E-3</v>
      </c>
      <c r="AC9" s="30">
        <v>0.12441724941724942</v>
      </c>
      <c r="AD9" s="30">
        <v>1.1072261072261072E-2</v>
      </c>
      <c r="AE9" s="30">
        <v>7.7505827505827504E-2</v>
      </c>
      <c r="AF9" s="30">
        <v>0.20716783216783216</v>
      </c>
      <c r="AG9" s="30">
        <v>2.9137529137529138E-4</v>
      </c>
      <c r="AH9" s="30">
        <v>0.49446386946386944</v>
      </c>
      <c r="AI9" s="30">
        <v>0.46940559440559443</v>
      </c>
      <c r="AJ9" s="30">
        <v>5.536130536130536E-3</v>
      </c>
      <c r="AK9" s="30">
        <v>0.65705128205128205</v>
      </c>
      <c r="AL9" s="30">
        <v>3.9627039627039624E-2</v>
      </c>
      <c r="AM9" s="30">
        <v>0.20367132867132867</v>
      </c>
    </row>
    <row r="10" spans="1:39">
      <c r="A10" s="29">
        <v>9</v>
      </c>
      <c r="B10" s="28" t="s">
        <v>89</v>
      </c>
      <c r="C10" s="28" t="s">
        <v>73</v>
      </c>
      <c r="D10" s="30">
        <v>0</v>
      </c>
      <c r="E10" s="30">
        <v>0.15561643835616437</v>
      </c>
      <c r="F10" s="30">
        <v>0</v>
      </c>
      <c r="G10" s="30">
        <v>3.4611872146118723E-2</v>
      </c>
      <c r="H10" s="30">
        <v>2.2191780821917809E-2</v>
      </c>
      <c r="I10" s="30">
        <v>0.14191780821917807</v>
      </c>
      <c r="J10" s="30">
        <v>3.1415525114155254E-2</v>
      </c>
      <c r="K10" s="30">
        <v>0</v>
      </c>
      <c r="L10" s="30">
        <v>0.22694063926940639</v>
      </c>
      <c r="M10" s="30">
        <v>0</v>
      </c>
      <c r="N10" s="30">
        <v>7.6164383561643831E-2</v>
      </c>
      <c r="O10" s="30">
        <v>7.7990867579908682E-2</v>
      </c>
      <c r="P10" s="30">
        <v>0</v>
      </c>
      <c r="Q10" s="30">
        <v>0</v>
      </c>
      <c r="R10" s="30">
        <v>4.80365296803653E-2</v>
      </c>
      <c r="S10" s="30">
        <v>0.26949771689497715</v>
      </c>
      <c r="T10" s="30">
        <v>2.502283105022831E-2</v>
      </c>
      <c r="U10" s="30">
        <v>0</v>
      </c>
      <c r="V10" s="30">
        <v>0</v>
      </c>
      <c r="W10" s="30">
        <v>3.3881278538812787E-2</v>
      </c>
      <c r="X10" s="30">
        <v>0.30182648401826484</v>
      </c>
      <c r="Y10" s="30">
        <v>0</v>
      </c>
      <c r="Z10" s="30">
        <v>0</v>
      </c>
      <c r="AA10" s="30">
        <v>0</v>
      </c>
      <c r="AB10" s="30">
        <v>0</v>
      </c>
      <c r="AC10" s="30">
        <v>0.14949771689497718</v>
      </c>
      <c r="AD10" s="30">
        <v>0</v>
      </c>
      <c r="AE10" s="30">
        <v>0.21835616438356165</v>
      </c>
      <c r="AF10" s="30">
        <v>0.11643835616438356</v>
      </c>
      <c r="AG10" s="30">
        <v>0</v>
      </c>
      <c r="AH10" s="30">
        <v>1</v>
      </c>
      <c r="AI10" s="30">
        <v>0.18684931506849314</v>
      </c>
      <c r="AJ10" s="30">
        <v>0</v>
      </c>
      <c r="AK10" s="30">
        <v>0.35753424657534244</v>
      </c>
      <c r="AL10" s="30">
        <v>0.20264840182648403</v>
      </c>
      <c r="AM10" s="30">
        <v>0.16091324200913243</v>
      </c>
    </row>
    <row r="11" spans="1:39">
      <c r="A11" s="29">
        <v>10</v>
      </c>
      <c r="B11" s="28" t="s">
        <v>89</v>
      </c>
      <c r="C11" s="28" t="s">
        <v>74</v>
      </c>
      <c r="D11" s="30">
        <v>0</v>
      </c>
      <c r="E11" s="30">
        <v>0.24324324324324326</v>
      </c>
      <c r="F11" s="30">
        <v>0</v>
      </c>
      <c r="G11" s="30">
        <v>5.4054054054054057E-2</v>
      </c>
      <c r="H11" s="30">
        <v>0.13513513513513514</v>
      </c>
      <c r="I11" s="30">
        <v>2.7027027027027029E-2</v>
      </c>
      <c r="J11" s="30">
        <v>0.1891891891891892</v>
      </c>
      <c r="K11" s="30">
        <v>0</v>
      </c>
      <c r="L11" s="30">
        <v>0.45945945945945948</v>
      </c>
      <c r="M11" s="30">
        <v>0.1891891891891892</v>
      </c>
      <c r="N11" s="30">
        <v>0.45945945945945948</v>
      </c>
      <c r="O11" s="30">
        <v>0.1891891891891892</v>
      </c>
      <c r="P11" s="30">
        <v>0</v>
      </c>
      <c r="Q11" s="30">
        <v>5.4054054054054057E-2</v>
      </c>
      <c r="R11" s="30">
        <v>8.1081081081081086E-2</v>
      </c>
      <c r="S11" s="30">
        <v>0.72972972972972971</v>
      </c>
      <c r="T11" s="30">
        <v>0.3783783783783784</v>
      </c>
      <c r="U11" s="30">
        <v>0</v>
      </c>
      <c r="V11" s="30">
        <v>0</v>
      </c>
      <c r="W11" s="30">
        <v>0.21621621621621623</v>
      </c>
      <c r="X11" s="30">
        <v>0.91891891891891897</v>
      </c>
      <c r="Y11" s="30">
        <v>2.7027027027027029E-2</v>
      </c>
      <c r="Z11" s="30">
        <v>0</v>
      </c>
      <c r="AA11" s="30">
        <v>0</v>
      </c>
      <c r="AB11" s="30">
        <v>2.7027027027027029E-2</v>
      </c>
      <c r="AC11" s="30">
        <v>0.29729729729729731</v>
      </c>
      <c r="AD11" s="30">
        <v>0</v>
      </c>
      <c r="AE11" s="30">
        <v>0.1891891891891892</v>
      </c>
      <c r="AF11" s="30">
        <v>0.21621621621621623</v>
      </c>
      <c r="AG11" s="30">
        <v>0</v>
      </c>
      <c r="AH11" s="30">
        <v>0.48648648648648651</v>
      </c>
      <c r="AI11" s="30">
        <v>0.32432432432432434</v>
      </c>
      <c r="AJ11" s="30">
        <v>0</v>
      </c>
      <c r="AK11" s="30">
        <v>1</v>
      </c>
      <c r="AL11" s="30">
        <v>0.10810810810810811</v>
      </c>
      <c r="AM11" s="30">
        <v>0.10810810810810811</v>
      </c>
    </row>
    <row r="12" spans="1:39">
      <c r="A12" s="29">
        <v>11</v>
      </c>
      <c r="B12" s="28" t="s">
        <v>90</v>
      </c>
      <c r="C12" s="28" t="s">
        <v>75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1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1</v>
      </c>
      <c r="Y12" s="29">
        <v>0</v>
      </c>
      <c r="Z12" s="29">
        <v>0</v>
      </c>
      <c r="AA12" s="29">
        <v>0</v>
      </c>
      <c r="AB12" s="29">
        <v>0</v>
      </c>
      <c r="AC12" s="29">
        <v>1</v>
      </c>
      <c r="AD12" s="29">
        <v>0</v>
      </c>
      <c r="AE12" s="29">
        <v>0</v>
      </c>
      <c r="AF12" s="29">
        <v>0</v>
      </c>
      <c r="AG12" s="29">
        <v>0</v>
      </c>
      <c r="AH12" s="29">
        <v>1</v>
      </c>
      <c r="AI12" s="29">
        <v>1</v>
      </c>
      <c r="AJ12" s="29">
        <v>0</v>
      </c>
      <c r="AK12" s="29">
        <v>0</v>
      </c>
      <c r="AL12" s="29">
        <v>0</v>
      </c>
      <c r="AM12" s="29">
        <v>0</v>
      </c>
    </row>
    <row r="13" spans="1:39">
      <c r="A13" s="29">
        <v>12</v>
      </c>
      <c r="B13" s="28" t="s">
        <v>90</v>
      </c>
      <c r="C13" s="28" t="s">
        <v>96</v>
      </c>
      <c r="D13" s="30">
        <v>5.2303262955854128E-2</v>
      </c>
      <c r="E13" s="30">
        <v>0.2605566218809981</v>
      </c>
      <c r="F13" s="30">
        <v>2.1593090211132437E-2</v>
      </c>
      <c r="G13" s="30">
        <v>0.38675623800383879</v>
      </c>
      <c r="H13" s="30">
        <v>2.7831094049904029E-2</v>
      </c>
      <c r="I13" s="30">
        <v>0.34021113243761997</v>
      </c>
      <c r="J13" s="30">
        <v>6.8618042226487527E-2</v>
      </c>
      <c r="K13" s="30">
        <v>2.1593090211132437E-2</v>
      </c>
      <c r="L13" s="30">
        <v>0.20057581573896352</v>
      </c>
      <c r="M13" s="30">
        <v>0.11324376199616124</v>
      </c>
      <c r="N13" s="30">
        <v>0.42274472168905952</v>
      </c>
      <c r="O13" s="30">
        <v>0.46880998080614206</v>
      </c>
      <c r="P13" s="30">
        <v>0.13051823416506717</v>
      </c>
      <c r="Q13" s="30">
        <v>0.55470249520153547</v>
      </c>
      <c r="R13" s="30">
        <v>1.6794625719769675E-2</v>
      </c>
      <c r="S13" s="30">
        <v>1</v>
      </c>
      <c r="T13" s="30">
        <v>0.44673704414587334</v>
      </c>
      <c r="U13" s="30">
        <v>2.3992322456813818E-3</v>
      </c>
      <c r="V13" s="30">
        <v>0</v>
      </c>
      <c r="W13" s="30">
        <v>0.73464491362763917</v>
      </c>
      <c r="X13" s="30">
        <v>0.30518234165067176</v>
      </c>
      <c r="Y13" s="30">
        <v>7.1976967370441458E-2</v>
      </c>
      <c r="Z13" s="30">
        <v>3.4069097888675626E-2</v>
      </c>
      <c r="AA13" s="30">
        <v>0</v>
      </c>
      <c r="AB13" s="30">
        <v>7.677543186180422E-3</v>
      </c>
      <c r="AC13" s="30">
        <v>0.19001919385796545</v>
      </c>
      <c r="AD13" s="30">
        <v>1.7274472168905951E-2</v>
      </c>
      <c r="AE13" s="30">
        <v>9.0211132437619967E-2</v>
      </c>
      <c r="AF13" s="30">
        <v>0.33637236084452976</v>
      </c>
      <c r="AG13" s="30">
        <v>0</v>
      </c>
      <c r="AH13" s="30">
        <v>0.24760076775431861</v>
      </c>
      <c r="AI13" s="30">
        <v>0.17130518234165068</v>
      </c>
      <c r="AJ13" s="30">
        <v>3.0230326295585412E-2</v>
      </c>
      <c r="AK13" s="30">
        <v>0.390595009596929</v>
      </c>
      <c r="AL13" s="30">
        <v>0.45249520153550865</v>
      </c>
      <c r="AM13" s="30">
        <v>4.7024952015355087E-2</v>
      </c>
    </row>
    <row r="14" spans="1:39">
      <c r="A14" s="29">
        <v>13</v>
      </c>
      <c r="B14" s="28" t="s">
        <v>91</v>
      </c>
      <c r="C14" s="28" t="s">
        <v>77</v>
      </c>
      <c r="D14" s="30">
        <v>0</v>
      </c>
      <c r="E14" s="30">
        <v>0.73333333333333328</v>
      </c>
      <c r="F14" s="30">
        <v>0</v>
      </c>
      <c r="G14" s="30">
        <v>0.26666666666666666</v>
      </c>
      <c r="H14" s="30">
        <v>0</v>
      </c>
      <c r="I14" s="30">
        <v>6.6666666666666666E-2</v>
      </c>
      <c r="J14" s="30">
        <v>0</v>
      </c>
      <c r="K14" s="30">
        <v>0</v>
      </c>
      <c r="L14" s="30">
        <v>0.73333333333333328</v>
      </c>
      <c r="M14" s="30">
        <v>6.6666666666666666E-2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0.66666666666666663</v>
      </c>
      <c r="T14" s="30">
        <v>0.13333333333333333</v>
      </c>
      <c r="U14" s="30">
        <v>0</v>
      </c>
      <c r="V14" s="30">
        <v>0</v>
      </c>
      <c r="W14" s="30">
        <v>0.26666666666666666</v>
      </c>
      <c r="X14" s="30">
        <v>0</v>
      </c>
      <c r="Y14" s="30">
        <v>0</v>
      </c>
      <c r="Z14" s="30">
        <v>6.6666666666666666E-2</v>
      </c>
      <c r="AA14" s="30">
        <v>0.53333333333333333</v>
      </c>
      <c r="AB14" s="30">
        <v>0</v>
      </c>
      <c r="AC14" s="30">
        <v>0</v>
      </c>
      <c r="AD14" s="30">
        <v>0</v>
      </c>
      <c r="AE14" s="30">
        <v>0.8</v>
      </c>
      <c r="AF14" s="30">
        <v>0.6</v>
      </c>
      <c r="AG14" s="30">
        <v>0.4</v>
      </c>
      <c r="AH14" s="30">
        <v>1</v>
      </c>
      <c r="AI14" s="30">
        <v>0</v>
      </c>
      <c r="AJ14" s="30">
        <v>0</v>
      </c>
      <c r="AK14" s="30">
        <v>6.6666666666666666E-2</v>
      </c>
      <c r="AL14" s="30">
        <v>6.6666666666666666E-2</v>
      </c>
      <c r="AM14" s="30">
        <v>0</v>
      </c>
    </row>
    <row r="15" spans="1:39">
      <c r="A15" s="29">
        <v>14</v>
      </c>
      <c r="B15" s="28" t="s">
        <v>91</v>
      </c>
      <c r="C15" s="28" t="s">
        <v>78</v>
      </c>
      <c r="D15" s="30">
        <v>0.25545454545454543</v>
      </c>
      <c r="E15" s="30">
        <v>0.49</v>
      </c>
      <c r="F15" s="30">
        <v>0.24454545454545454</v>
      </c>
      <c r="G15" s="30">
        <v>0.39</v>
      </c>
      <c r="H15" s="30">
        <v>0.18</v>
      </c>
      <c r="I15" s="30">
        <v>0.16727272727272727</v>
      </c>
      <c r="J15" s="30">
        <v>0.22454545454545455</v>
      </c>
      <c r="K15" s="30">
        <v>3.4545454545454546E-2</v>
      </c>
      <c r="L15" s="30">
        <v>0.36</v>
      </c>
      <c r="M15" s="30">
        <v>0.18181818181818182</v>
      </c>
      <c r="N15" s="30">
        <v>0.36636363636363639</v>
      </c>
      <c r="O15" s="30">
        <v>0.65181818181818185</v>
      </c>
      <c r="P15" s="30">
        <v>0.4209090909090909</v>
      </c>
      <c r="Q15" s="30">
        <v>1</v>
      </c>
      <c r="R15" s="30">
        <v>0.26636363636363636</v>
      </c>
      <c r="S15" s="30">
        <v>0.65</v>
      </c>
      <c r="T15" s="30">
        <v>0.79181818181818187</v>
      </c>
      <c r="U15" s="30">
        <v>5.454545454545455E-3</v>
      </c>
      <c r="V15" s="30">
        <v>1.8181818181818182E-3</v>
      </c>
      <c r="W15" s="30">
        <v>0.88181818181818183</v>
      </c>
      <c r="X15" s="30">
        <v>0.4490909090909091</v>
      </c>
      <c r="Y15" s="30">
        <v>0</v>
      </c>
      <c r="Z15" s="30">
        <v>0.29363636363636364</v>
      </c>
      <c r="AA15" s="30">
        <v>5.7272727272727274E-2</v>
      </c>
      <c r="AB15" s="30">
        <v>2.181818181818182E-2</v>
      </c>
      <c r="AC15" s="30">
        <v>0.33090909090909093</v>
      </c>
      <c r="AD15" s="30">
        <v>0.51363636363636367</v>
      </c>
      <c r="AE15" s="30">
        <v>0.40363636363636363</v>
      </c>
      <c r="AF15" s="30">
        <v>0.47818181818181821</v>
      </c>
      <c r="AG15" s="30">
        <v>0.01</v>
      </c>
      <c r="AH15" s="30">
        <v>0.98909090909090913</v>
      </c>
      <c r="AI15" s="30">
        <v>0.66181818181818186</v>
      </c>
      <c r="AJ15" s="30">
        <v>0.20363636363636364</v>
      </c>
      <c r="AK15" s="30">
        <v>0.68909090909090909</v>
      </c>
      <c r="AL15" s="30">
        <v>0.77</v>
      </c>
      <c r="AM15" s="30">
        <v>0.32818181818181819</v>
      </c>
    </row>
    <row r="16" spans="1:39">
      <c r="A16" s="29">
        <v>15</v>
      </c>
      <c r="B16" s="28" t="s">
        <v>91</v>
      </c>
      <c r="C16" s="28" t="s">
        <v>97</v>
      </c>
      <c r="D16" s="29">
        <v>1</v>
      </c>
      <c r="E16" s="29">
        <v>0.25</v>
      </c>
      <c r="F16" s="29">
        <v>0.86</v>
      </c>
      <c r="G16" s="29">
        <v>1</v>
      </c>
      <c r="H16" s="29">
        <v>1</v>
      </c>
      <c r="I16" s="29">
        <v>1</v>
      </c>
      <c r="J16" s="29">
        <v>0</v>
      </c>
      <c r="K16" s="29">
        <v>0.75</v>
      </c>
      <c r="L16" s="29">
        <v>0.75</v>
      </c>
      <c r="M16" s="29">
        <v>0.75</v>
      </c>
      <c r="N16" s="29">
        <v>0.75</v>
      </c>
      <c r="O16" s="29">
        <v>1</v>
      </c>
      <c r="P16" s="29">
        <v>0.71</v>
      </c>
      <c r="Q16" s="29">
        <v>1</v>
      </c>
      <c r="R16" s="29">
        <v>0.75</v>
      </c>
      <c r="S16" s="29">
        <v>0.5</v>
      </c>
      <c r="T16" s="29">
        <v>1</v>
      </c>
      <c r="U16" s="29">
        <v>1</v>
      </c>
      <c r="V16" s="29">
        <v>0.5</v>
      </c>
      <c r="W16" s="29">
        <v>0.75</v>
      </c>
      <c r="X16" s="29">
        <v>0.5</v>
      </c>
      <c r="Y16" s="29">
        <v>1</v>
      </c>
      <c r="Z16" s="29">
        <v>1</v>
      </c>
      <c r="AA16" s="29">
        <v>0.86</v>
      </c>
      <c r="AB16" s="29">
        <v>0.86</v>
      </c>
      <c r="AC16" s="29">
        <v>1</v>
      </c>
      <c r="AD16" s="29">
        <v>1</v>
      </c>
      <c r="AE16" s="29">
        <v>0.5</v>
      </c>
      <c r="AF16" s="29">
        <v>0.25</v>
      </c>
      <c r="AG16" s="29">
        <v>1</v>
      </c>
      <c r="AH16" s="29">
        <v>0.75</v>
      </c>
      <c r="AI16" s="29">
        <v>0.5</v>
      </c>
      <c r="AJ16" s="29">
        <v>1</v>
      </c>
      <c r="AK16" s="29">
        <v>1</v>
      </c>
      <c r="AL16" s="29">
        <v>0.43</v>
      </c>
      <c r="AM16" s="29">
        <v>0.5</v>
      </c>
    </row>
    <row r="17" spans="1:3">
      <c r="A17" s="27"/>
    </row>
    <row r="18" spans="1:3">
      <c r="A18" s="27"/>
    </row>
    <row r="19" spans="1:3">
      <c r="A19" s="27"/>
      <c r="B19" s="31" t="s">
        <v>86</v>
      </c>
    </row>
    <row r="20" spans="1:3">
      <c r="A20" s="27"/>
      <c r="B20" s="29" t="s">
        <v>80</v>
      </c>
      <c r="C20" s="29" t="s">
        <v>87</v>
      </c>
    </row>
    <row r="21" spans="1:3">
      <c r="A21" s="27"/>
      <c r="B21" s="29" t="s">
        <v>81</v>
      </c>
      <c r="C21" s="29" t="s">
        <v>88</v>
      </c>
    </row>
    <row r="22" spans="1:3">
      <c r="A22" s="27"/>
      <c r="B22" s="29" t="s">
        <v>82</v>
      </c>
      <c r="C22" s="29" t="s">
        <v>89</v>
      </c>
    </row>
    <row r="23" spans="1:3">
      <c r="A23" s="27"/>
      <c r="B23" s="29" t="s">
        <v>83</v>
      </c>
      <c r="C23" s="29" t="s">
        <v>90</v>
      </c>
    </row>
    <row r="24" spans="1:3">
      <c r="A24" s="27"/>
      <c r="B24" s="29" t="s">
        <v>85</v>
      </c>
      <c r="C24" s="29" t="s">
        <v>91</v>
      </c>
    </row>
    <row r="25" spans="1:3">
      <c r="A25" s="27"/>
      <c r="B25" s="29" t="s">
        <v>66</v>
      </c>
      <c r="C25" s="29" t="s">
        <v>92</v>
      </c>
    </row>
    <row r="26" spans="1:3">
      <c r="A26" s="27"/>
      <c r="B26" s="29" t="s">
        <v>67</v>
      </c>
      <c r="C26" s="29" t="s">
        <v>93</v>
      </c>
    </row>
    <row r="27" spans="1:3">
      <c r="A27" s="27"/>
      <c r="B27" s="29" t="s">
        <v>68</v>
      </c>
      <c r="C27" s="29" t="s">
        <v>94</v>
      </c>
    </row>
    <row r="28" spans="1:3">
      <c r="B28" s="29" t="s">
        <v>69</v>
      </c>
      <c r="C28" s="29" t="s">
        <v>102</v>
      </c>
    </row>
    <row r="29" spans="1:3">
      <c r="B29" s="29" t="s">
        <v>70</v>
      </c>
      <c r="C29" s="29" t="s">
        <v>103</v>
      </c>
    </row>
    <row r="30" spans="1:3">
      <c r="B30" s="29" t="s">
        <v>71</v>
      </c>
      <c r="C30" s="29" t="s">
        <v>71</v>
      </c>
    </row>
    <row r="31" spans="1:3">
      <c r="B31" s="29" t="s">
        <v>72</v>
      </c>
      <c r="C31" s="29" t="s">
        <v>72</v>
      </c>
    </row>
    <row r="32" spans="1:3">
      <c r="B32" s="29" t="s">
        <v>73</v>
      </c>
      <c r="C32" s="29" t="s">
        <v>73</v>
      </c>
    </row>
    <row r="33" spans="2:3">
      <c r="B33" s="29" t="s">
        <v>74</v>
      </c>
      <c r="C33" s="29" t="s">
        <v>74</v>
      </c>
    </row>
    <row r="34" spans="2:3">
      <c r="B34" s="29" t="s">
        <v>75</v>
      </c>
      <c r="C34" s="29" t="s">
        <v>75</v>
      </c>
    </row>
    <row r="35" spans="2:3">
      <c r="B35" s="29" t="s">
        <v>76</v>
      </c>
      <c r="C35" s="29" t="s">
        <v>96</v>
      </c>
    </row>
    <row r="36" spans="2:3">
      <c r="B36" s="29" t="s">
        <v>77</v>
      </c>
      <c r="C36" s="29" t="s">
        <v>77</v>
      </c>
    </row>
    <row r="37" spans="2:3">
      <c r="B37" s="29" t="s">
        <v>78</v>
      </c>
      <c r="C37" s="29" t="s">
        <v>78</v>
      </c>
    </row>
    <row r="38" spans="2:3">
      <c r="B38" s="29" t="s">
        <v>79</v>
      </c>
      <c r="C38" s="29" t="s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EAF25-A678-4094-8194-1E94354598D3}">
  <dimension ref="A1:AN17"/>
  <sheetViews>
    <sheetView workbookViewId="0">
      <pane xSplit="4" topLeftCell="E1" activePane="topRight" state="frozen"/>
      <selection pane="topRight" activeCell="D19" sqref="D19"/>
    </sheetView>
  </sheetViews>
  <sheetFormatPr defaultRowHeight="12.75"/>
  <cols>
    <col min="1" max="1" width="4.7109375" bestFit="1" customWidth="1"/>
    <col min="2" max="2" width="10" bestFit="1" customWidth="1"/>
    <col min="3" max="3" width="10" customWidth="1"/>
    <col min="4" max="4" width="28.5703125" bestFit="1" customWidth="1"/>
  </cols>
  <sheetData>
    <row r="1" spans="1:40" s="32" customFormat="1">
      <c r="A1" s="33" t="s">
        <v>0</v>
      </c>
      <c r="B1" s="33" t="s">
        <v>98</v>
      </c>
      <c r="C1" s="33"/>
      <c r="D1" s="33" t="s">
        <v>99</v>
      </c>
      <c r="E1" s="33" t="s">
        <v>36</v>
      </c>
      <c r="F1" s="33" t="s">
        <v>2</v>
      </c>
      <c r="G1" s="33" t="s">
        <v>4</v>
      </c>
      <c r="H1" s="33" t="s">
        <v>5</v>
      </c>
      <c r="I1" s="33" t="s">
        <v>6</v>
      </c>
      <c r="J1" s="33" t="s">
        <v>37</v>
      </c>
      <c r="K1" s="33" t="s">
        <v>7</v>
      </c>
      <c r="L1" s="33" t="s">
        <v>38</v>
      </c>
      <c r="M1" s="33" t="s">
        <v>39</v>
      </c>
      <c r="N1" s="33" t="s">
        <v>8</v>
      </c>
      <c r="O1" s="33" t="s">
        <v>9</v>
      </c>
      <c r="P1" s="33" t="s">
        <v>11</v>
      </c>
      <c r="Q1" s="33" t="s">
        <v>12</v>
      </c>
      <c r="R1" s="33" t="s">
        <v>40</v>
      </c>
      <c r="S1" s="33" t="s">
        <v>13</v>
      </c>
      <c r="T1" s="33" t="s">
        <v>14</v>
      </c>
      <c r="U1" s="33" t="s">
        <v>15</v>
      </c>
      <c r="V1" s="33" t="s">
        <v>41</v>
      </c>
      <c r="W1" s="33" t="s">
        <v>42</v>
      </c>
      <c r="X1" s="33" t="s">
        <v>16</v>
      </c>
      <c r="Y1" s="33" t="s">
        <v>17</v>
      </c>
      <c r="Z1" s="33" t="s">
        <v>19</v>
      </c>
      <c r="AA1" s="33" t="s">
        <v>20</v>
      </c>
      <c r="AB1" s="33" t="s">
        <v>21</v>
      </c>
      <c r="AC1" s="33" t="s">
        <v>22</v>
      </c>
      <c r="AD1" s="33" t="s">
        <v>23</v>
      </c>
      <c r="AE1" s="33" t="s">
        <v>43</v>
      </c>
      <c r="AF1" s="33" t="s">
        <v>25</v>
      </c>
      <c r="AG1" s="33" t="s">
        <v>26</v>
      </c>
      <c r="AH1" s="33" t="s">
        <v>27</v>
      </c>
      <c r="AI1" s="33" t="s">
        <v>28</v>
      </c>
      <c r="AJ1" s="33" t="s">
        <v>30</v>
      </c>
      <c r="AK1" s="33" t="s">
        <v>32</v>
      </c>
      <c r="AL1" s="33" t="s">
        <v>33</v>
      </c>
      <c r="AM1" s="33" t="s">
        <v>34</v>
      </c>
      <c r="AN1" s="33" t="s">
        <v>35</v>
      </c>
    </row>
    <row r="2" spans="1:40">
      <c r="A2" s="34">
        <v>1</v>
      </c>
      <c r="B2" s="35" t="s">
        <v>101</v>
      </c>
      <c r="C2" s="35"/>
      <c r="D2" s="35" t="s">
        <v>100</v>
      </c>
      <c r="E2" s="34">
        <v>0</v>
      </c>
      <c r="F2" s="34">
        <v>1</v>
      </c>
      <c r="G2" s="34">
        <v>1</v>
      </c>
      <c r="H2" s="34">
        <v>1</v>
      </c>
      <c r="I2" s="34">
        <v>1</v>
      </c>
      <c r="J2" s="34">
        <v>0</v>
      </c>
      <c r="K2" s="34">
        <v>1</v>
      </c>
      <c r="L2" s="34">
        <v>0</v>
      </c>
      <c r="M2" s="34">
        <v>0</v>
      </c>
      <c r="N2" s="34">
        <v>1</v>
      </c>
      <c r="O2" s="34">
        <v>1</v>
      </c>
      <c r="P2" s="34">
        <v>1</v>
      </c>
      <c r="Q2" s="34">
        <v>1</v>
      </c>
      <c r="R2" s="34">
        <v>0</v>
      </c>
      <c r="S2" s="34">
        <v>1</v>
      </c>
      <c r="T2" s="34">
        <v>1</v>
      </c>
      <c r="U2" s="34">
        <v>1</v>
      </c>
      <c r="V2" s="34">
        <v>0</v>
      </c>
      <c r="W2" s="34">
        <v>0</v>
      </c>
      <c r="X2" s="34">
        <v>1</v>
      </c>
      <c r="Y2" s="34">
        <v>1</v>
      </c>
      <c r="Z2" s="34">
        <v>1</v>
      </c>
      <c r="AA2" s="34">
        <v>1</v>
      </c>
      <c r="AB2" s="34">
        <v>1</v>
      </c>
      <c r="AC2" s="34">
        <v>1</v>
      </c>
      <c r="AD2" s="34">
        <v>1</v>
      </c>
      <c r="AE2" s="34">
        <v>0</v>
      </c>
      <c r="AF2" s="34">
        <v>1</v>
      </c>
      <c r="AG2" s="34">
        <v>1</v>
      </c>
      <c r="AH2" s="34">
        <v>1</v>
      </c>
      <c r="AI2" s="34">
        <v>1</v>
      </c>
      <c r="AJ2" s="34">
        <v>1</v>
      </c>
      <c r="AK2" s="34">
        <v>1</v>
      </c>
      <c r="AL2" s="34">
        <v>1</v>
      </c>
      <c r="AM2" s="34">
        <v>1</v>
      </c>
      <c r="AN2" s="34">
        <v>1</v>
      </c>
    </row>
    <row r="3" spans="1:40">
      <c r="A3" s="34">
        <v>2</v>
      </c>
      <c r="B3" s="35" t="s">
        <v>87</v>
      </c>
      <c r="C3" s="35">
        <v>0.56994078492522127</v>
      </c>
      <c r="D3" s="35" t="s">
        <v>92</v>
      </c>
      <c r="E3" s="36">
        <v>0.54624157163073339</v>
      </c>
      <c r="F3" s="36">
        <v>0.22042786980770829</v>
      </c>
      <c r="G3" s="36">
        <v>0.13901606592857735</v>
      </c>
      <c r="H3" s="36">
        <v>0.11828852076916675</v>
      </c>
      <c r="I3" s="36">
        <v>0</v>
      </c>
      <c r="J3" s="36">
        <v>0.57521018896195786</v>
      </c>
      <c r="K3" s="36">
        <v>0.12519770248897027</v>
      </c>
      <c r="L3" s="36">
        <v>0.13518688087904765</v>
      </c>
      <c r="M3" s="36">
        <v>1</v>
      </c>
      <c r="N3" s="36">
        <v>0.91359360692583036</v>
      </c>
      <c r="O3" s="36">
        <v>0.28785482394073081</v>
      </c>
      <c r="P3" s="36">
        <v>0.46358112045284267</v>
      </c>
      <c r="Q3" s="36">
        <v>0.38974444351952053</v>
      </c>
      <c r="R3" s="36">
        <v>0.25156080912344952</v>
      </c>
      <c r="S3" s="36">
        <v>5.1527511862149322E-2</v>
      </c>
      <c r="T3" s="36">
        <v>0.38549904270373758</v>
      </c>
      <c r="U3" s="36">
        <v>0.48564055606426371</v>
      </c>
      <c r="V3" s="36">
        <v>0.81828019645384176</v>
      </c>
      <c r="W3" s="36">
        <v>0.28527428618996092</v>
      </c>
      <c r="X3" s="36">
        <v>0.11778906184966285</v>
      </c>
      <c r="Y3" s="36">
        <v>0.36302339132606337</v>
      </c>
      <c r="Z3" s="36">
        <v>0.23624406892533092</v>
      </c>
      <c r="AA3" s="36">
        <v>0.16190793307250476</v>
      </c>
      <c r="AB3" s="36">
        <v>0.47182219262465663</v>
      </c>
      <c r="AC3" s="36">
        <v>0.26030134021476736</v>
      </c>
      <c r="AD3" s="36">
        <v>0.1370182302505619</v>
      </c>
      <c r="AE3" s="36">
        <v>0.20860734204611667</v>
      </c>
      <c r="AF3" s="36">
        <v>0.380254724048947</v>
      </c>
      <c r="AG3" s="36">
        <v>0.17639224173811702</v>
      </c>
      <c r="AH3" s="36">
        <v>0.41305252642970114</v>
      </c>
      <c r="AI3" s="36">
        <v>0.33680179805211025</v>
      </c>
      <c r="AJ3" s="36">
        <v>0.43652709564638303</v>
      </c>
      <c r="AK3" s="36">
        <v>8.5573961541663149E-2</v>
      </c>
      <c r="AL3" s="36">
        <v>0.10705069508032965</v>
      </c>
      <c r="AM3" s="36">
        <v>0.34412719553816695</v>
      </c>
      <c r="AN3" s="36">
        <v>0.18363439607092313</v>
      </c>
    </row>
    <row r="4" spans="1:40">
      <c r="A4" s="34">
        <v>3</v>
      </c>
      <c r="B4" s="35" t="s">
        <v>87</v>
      </c>
      <c r="C4" s="35">
        <v>0.24110580459725436</v>
      </c>
      <c r="D4" s="35" t="s">
        <v>93</v>
      </c>
      <c r="E4" s="36">
        <v>2.5974025974025974E-3</v>
      </c>
      <c r="F4" s="36">
        <v>0.25714285714285712</v>
      </c>
      <c r="G4" s="36">
        <v>7.1881606765327689E-3</v>
      </c>
      <c r="H4" s="36">
        <v>0.15964965267290848</v>
      </c>
      <c r="I4" s="36">
        <v>0.43418906674720631</v>
      </c>
      <c r="J4" s="36">
        <v>1.0570824524312896E-2</v>
      </c>
      <c r="K4" s="36">
        <v>0.1284808215040773</v>
      </c>
      <c r="L4" s="36">
        <v>5.1948051948051948E-3</v>
      </c>
      <c r="M4" s="36">
        <v>0.21274539414074295</v>
      </c>
      <c r="N4" s="36">
        <v>1.4195107218363033E-2</v>
      </c>
      <c r="O4" s="36">
        <v>0.39136212624584721</v>
      </c>
      <c r="P4" s="36">
        <v>0.21522198731501058</v>
      </c>
      <c r="Q4" s="36">
        <v>5.33373603141045E-2</v>
      </c>
      <c r="R4" s="36">
        <v>7.0673512533977648E-2</v>
      </c>
      <c r="S4" s="36">
        <v>0.14938085170643309</v>
      </c>
      <c r="T4" s="36">
        <v>0.41479915433403802</v>
      </c>
      <c r="U4" s="36">
        <v>0.24953186348535186</v>
      </c>
      <c r="V4" s="36">
        <v>2.7786167321051042E-3</v>
      </c>
      <c r="W4" s="36">
        <v>0</v>
      </c>
      <c r="X4" s="36">
        <v>0.35989127151917844</v>
      </c>
      <c r="Y4" s="36">
        <v>0.7441860465116279</v>
      </c>
      <c r="Z4" s="36">
        <v>1.437632135306554E-2</v>
      </c>
      <c r="AA4" s="36">
        <v>1.5463606161280579E-2</v>
      </c>
      <c r="AB4" s="36">
        <v>7.9130172153427953E-3</v>
      </c>
      <c r="AC4" s="36">
        <v>9.9063726970703703E-3</v>
      </c>
      <c r="AD4" s="36">
        <v>0.21159770462096042</v>
      </c>
      <c r="AE4" s="36">
        <v>6.6445182724252476E-3</v>
      </c>
      <c r="AF4" s="36">
        <v>0.19613409845967983</v>
      </c>
      <c r="AG4" s="36">
        <v>0.39220779220779223</v>
      </c>
      <c r="AH4" s="36">
        <v>4.2887345212926607E-3</v>
      </c>
      <c r="AI4" s="36">
        <v>0.46203563877982484</v>
      </c>
      <c r="AJ4" s="36">
        <v>0.24294774992449408</v>
      </c>
      <c r="AK4" s="36">
        <v>1.9389912413168224E-2</v>
      </c>
      <c r="AL4" s="36">
        <v>1</v>
      </c>
      <c r="AM4" s="36">
        <v>7.3029296285110235E-2</v>
      </c>
      <c r="AN4" s="36">
        <v>0.47514346118997286</v>
      </c>
    </row>
    <row r="5" spans="1:40">
      <c r="A5" s="34">
        <v>4</v>
      </c>
      <c r="B5" s="35" t="s">
        <v>87</v>
      </c>
      <c r="C5" s="35">
        <v>0.18895341047752442</v>
      </c>
      <c r="D5" s="35" t="s">
        <v>94</v>
      </c>
      <c r="E5" s="36">
        <v>2.6704366949418788E-3</v>
      </c>
      <c r="F5" s="36">
        <v>0.27874646559849203</v>
      </c>
      <c r="G5" s="36">
        <v>6.9902607602890356E-3</v>
      </c>
      <c r="H5" s="36">
        <v>0.15771284951303802</v>
      </c>
      <c r="I5" s="36">
        <v>0.4176877159912033</v>
      </c>
      <c r="J5" s="36">
        <v>1.0524662268300346E-2</v>
      </c>
      <c r="K5" s="36">
        <v>0.13564247565190074</v>
      </c>
      <c r="L5" s="36">
        <v>6.2833804586867733E-3</v>
      </c>
      <c r="M5" s="36">
        <v>0.25416273955388002</v>
      </c>
      <c r="N5" s="36">
        <v>1.8535972353125985E-2</v>
      </c>
      <c r="O5" s="36">
        <v>0.43347470939365379</v>
      </c>
      <c r="P5" s="36">
        <v>0.22258875274897896</v>
      </c>
      <c r="Q5" s="36">
        <v>5.1602262016965127E-2</v>
      </c>
      <c r="R5" s="36">
        <v>7.6500157084511466E-2</v>
      </c>
      <c r="S5" s="36">
        <v>0.14962299717247879</v>
      </c>
      <c r="T5" s="36">
        <v>0.44399937166195419</v>
      </c>
      <c r="U5" s="36">
        <v>0.27654728243795162</v>
      </c>
      <c r="V5" s="36">
        <v>3.0631479736098022E-3</v>
      </c>
      <c r="W5" s="36">
        <v>0</v>
      </c>
      <c r="X5" s="36">
        <v>0.38328620797989316</v>
      </c>
      <c r="Y5" s="36">
        <v>0.84456487590323603</v>
      </c>
      <c r="Z5" s="36">
        <v>1.7672007540056552E-2</v>
      </c>
      <c r="AA5" s="36">
        <v>1.6022620169651274E-2</v>
      </c>
      <c r="AB5" s="36">
        <v>9.4250706880301596E-3</v>
      </c>
      <c r="AC5" s="36">
        <v>1.2645303173107131E-2</v>
      </c>
      <c r="AD5" s="36">
        <v>0.20067546339930881</v>
      </c>
      <c r="AE5" s="36">
        <v>8.1683945962928058E-3</v>
      </c>
      <c r="AF5" s="36">
        <v>0.20962928055293747</v>
      </c>
      <c r="AG5" s="36">
        <v>0.40080113100848258</v>
      </c>
      <c r="AH5" s="36">
        <v>4.7910775997486652E-3</v>
      </c>
      <c r="AI5" s="36">
        <v>0.48735469682689286</v>
      </c>
      <c r="AJ5" s="36">
        <v>0.2792177191328935</v>
      </c>
      <c r="AK5" s="36">
        <v>1.6729500471253538E-2</v>
      </c>
      <c r="AL5" s="36">
        <v>1</v>
      </c>
      <c r="AM5" s="36">
        <v>7.587181903864279E-2</v>
      </c>
      <c r="AN5" s="36">
        <v>0.49371661954131324</v>
      </c>
    </row>
    <row r="6" spans="1:40">
      <c r="A6" s="34">
        <v>5</v>
      </c>
      <c r="B6" s="35" t="s">
        <v>88</v>
      </c>
      <c r="C6" s="35">
        <v>0.66578151522961482</v>
      </c>
      <c r="D6" s="35" t="s">
        <v>102</v>
      </c>
      <c r="E6" s="36">
        <v>2.1645021645021645E-3</v>
      </c>
      <c r="F6" s="36">
        <v>0.60173160173160178</v>
      </c>
      <c r="G6" s="36">
        <v>0</v>
      </c>
      <c r="H6" s="36">
        <v>2.3809523809523808E-2</v>
      </c>
      <c r="I6" s="36">
        <v>0.13203463203463203</v>
      </c>
      <c r="J6" s="36">
        <v>0.15151515151515152</v>
      </c>
      <c r="K6" s="36">
        <v>4.329004329004329E-3</v>
      </c>
      <c r="L6" s="36">
        <v>1.0822510822510822E-2</v>
      </c>
      <c r="M6" s="36">
        <v>3.2467532467532464E-2</v>
      </c>
      <c r="N6" s="36">
        <v>1.2987012987012988E-2</v>
      </c>
      <c r="O6" s="36">
        <v>0.51731601731601728</v>
      </c>
      <c r="P6" s="36">
        <v>0.17965367965367965</v>
      </c>
      <c r="Q6" s="36">
        <v>3.2467532467532464E-2</v>
      </c>
      <c r="R6" s="36">
        <v>2.3809523809523808E-2</v>
      </c>
      <c r="S6" s="36">
        <v>6.7099567099567103E-2</v>
      </c>
      <c r="T6" s="36">
        <v>0.44588744588744589</v>
      </c>
      <c r="U6" s="36">
        <v>0.30519480519480519</v>
      </c>
      <c r="V6" s="36">
        <v>0</v>
      </c>
      <c r="W6" s="36">
        <v>0</v>
      </c>
      <c r="X6" s="36">
        <v>0.37878787878787878</v>
      </c>
      <c r="Y6" s="36">
        <v>0.8614718614718615</v>
      </c>
      <c r="Z6" s="36">
        <v>1.5151515151515152E-2</v>
      </c>
      <c r="AA6" s="36">
        <v>2.1645021645021645E-3</v>
      </c>
      <c r="AB6" s="36">
        <v>2.1645021645021645E-3</v>
      </c>
      <c r="AC6" s="36">
        <v>0</v>
      </c>
      <c r="AD6" s="36">
        <v>0.18614718614718614</v>
      </c>
      <c r="AE6" s="36">
        <v>3.0303030303030304E-2</v>
      </c>
      <c r="AF6" s="36">
        <v>0.17965367965367965</v>
      </c>
      <c r="AG6" s="36">
        <v>0.19264069264069264</v>
      </c>
      <c r="AH6" s="36">
        <v>6.4935064935064939E-3</v>
      </c>
      <c r="AI6" s="36">
        <v>1</v>
      </c>
      <c r="AJ6" s="36">
        <v>0.40259740259740262</v>
      </c>
      <c r="AK6" s="36">
        <v>1.5151515151515152E-2</v>
      </c>
      <c r="AL6" s="36">
        <v>0.42857142857142855</v>
      </c>
      <c r="AM6" s="36">
        <v>6.7099567099567103E-2</v>
      </c>
      <c r="AN6" s="36">
        <v>0.16883116883116883</v>
      </c>
    </row>
    <row r="7" spans="1:40">
      <c r="A7" s="34">
        <v>6</v>
      </c>
      <c r="B7" s="35" t="s">
        <v>88</v>
      </c>
      <c r="C7" s="35">
        <v>0.27000616605721323</v>
      </c>
      <c r="D7" s="35" t="s">
        <v>103</v>
      </c>
      <c r="E7" s="36">
        <v>0</v>
      </c>
      <c r="F7" s="36">
        <v>0.70588235294117652</v>
      </c>
      <c r="G7" s="36">
        <v>0.11764705882352941</v>
      </c>
      <c r="H7" s="36">
        <v>0.41176470588235292</v>
      </c>
      <c r="I7" s="36">
        <v>0.17647058823529413</v>
      </c>
      <c r="J7" s="36">
        <v>5.8823529411764705E-2</v>
      </c>
      <c r="K7" s="36">
        <v>0.23529411764705882</v>
      </c>
      <c r="L7" s="36">
        <v>0</v>
      </c>
      <c r="M7" s="36">
        <v>0.47058823529411764</v>
      </c>
      <c r="N7" s="36">
        <v>0.11764705882352941</v>
      </c>
      <c r="O7" s="36">
        <v>0.88235294117647056</v>
      </c>
      <c r="P7" s="36">
        <v>0.47058823529411764</v>
      </c>
      <c r="Q7" s="36">
        <v>0.41176470588235292</v>
      </c>
      <c r="R7" s="36">
        <v>0.11764705882352941</v>
      </c>
      <c r="S7" s="36">
        <v>0.35294117647058826</v>
      </c>
      <c r="T7" s="36">
        <v>0.41176470588235292</v>
      </c>
      <c r="U7" s="36">
        <v>0.29411764705882354</v>
      </c>
      <c r="V7" s="36">
        <v>0</v>
      </c>
      <c r="W7" s="36">
        <v>0</v>
      </c>
      <c r="X7" s="36">
        <v>0.58823529411764708</v>
      </c>
      <c r="Y7" s="36">
        <v>0.47058823529411764</v>
      </c>
      <c r="Z7" s="36">
        <v>0.17647058823529413</v>
      </c>
      <c r="AA7" s="36">
        <v>0.11764705882352941</v>
      </c>
      <c r="AB7" s="36">
        <v>5.8823529411764705E-2</v>
      </c>
      <c r="AC7" s="36">
        <v>5.8823529411764705E-2</v>
      </c>
      <c r="AD7" s="36">
        <v>0.47058823529411764</v>
      </c>
      <c r="AE7" s="36">
        <v>5.8823529411764705E-2</v>
      </c>
      <c r="AF7" s="36">
        <v>0.47058823529411764</v>
      </c>
      <c r="AG7" s="36">
        <v>0.6470588235294118</v>
      </c>
      <c r="AH7" s="36">
        <v>5.8823529411764705E-2</v>
      </c>
      <c r="AI7" s="36">
        <v>1</v>
      </c>
      <c r="AJ7" s="36">
        <v>0.29411764705882354</v>
      </c>
      <c r="AK7" s="36">
        <v>0.11764705882352941</v>
      </c>
      <c r="AL7" s="36">
        <v>0.82352941176470584</v>
      </c>
      <c r="AM7" s="36">
        <v>0.29411764705882354</v>
      </c>
      <c r="AN7" s="36">
        <v>0.35294117647058826</v>
      </c>
    </row>
    <row r="8" spans="1:40">
      <c r="A8" s="34">
        <v>7</v>
      </c>
      <c r="B8" s="35" t="s">
        <v>88</v>
      </c>
      <c r="C8" s="35">
        <v>6.4212318713172067E-2</v>
      </c>
      <c r="D8" s="35" t="s">
        <v>71</v>
      </c>
      <c r="E8" s="36">
        <v>0.41063781321184512</v>
      </c>
      <c r="F8" s="36">
        <v>0.26788154897494304</v>
      </c>
      <c r="G8" s="36">
        <v>0.28223234624145782</v>
      </c>
      <c r="H8" s="36">
        <v>2.2779043280182152E-4</v>
      </c>
      <c r="I8" s="36">
        <v>6.605922551252824E-3</v>
      </c>
      <c r="J8" s="36">
        <v>0.56788154897494325</v>
      </c>
      <c r="K8" s="36">
        <v>3.8268792710706157E-2</v>
      </c>
      <c r="L8" s="36">
        <v>0.10022779043280183</v>
      </c>
      <c r="M8" s="36">
        <v>0.47849658314350801</v>
      </c>
      <c r="N8" s="36">
        <v>0.63553530751708431</v>
      </c>
      <c r="O8" s="36">
        <v>0.26628701594533033</v>
      </c>
      <c r="P8" s="36">
        <v>0.26879271070615035</v>
      </c>
      <c r="Q8" s="36">
        <v>0.54601366742596824</v>
      </c>
      <c r="R8" s="36">
        <v>0.2528473804100228</v>
      </c>
      <c r="S8" s="36">
        <v>4.6241457858769909E-2</v>
      </c>
      <c r="T8" s="36">
        <v>0.48815489749430507</v>
      </c>
      <c r="U8" s="36">
        <v>1</v>
      </c>
      <c r="V8" s="36">
        <v>0.60410022779043282</v>
      </c>
      <c r="W8" s="36">
        <v>0.50865603644646917</v>
      </c>
      <c r="X8" s="36">
        <v>6.8337129840546455E-3</v>
      </c>
      <c r="Y8" s="36">
        <v>0.38838268792710717</v>
      </c>
      <c r="Z8" s="36">
        <v>0.35945330296127564</v>
      </c>
      <c r="AA8" s="36">
        <v>0.12779043280182234</v>
      </c>
      <c r="AB8" s="36">
        <v>0.47676537585421408</v>
      </c>
      <c r="AC8" s="36">
        <v>0.36173120728929387</v>
      </c>
      <c r="AD8" s="36">
        <v>8.51936218678815E-2</v>
      </c>
      <c r="AE8" s="36">
        <v>0.7198177676537586</v>
      </c>
      <c r="AF8" s="36">
        <v>0.34555808656036441</v>
      </c>
      <c r="AG8" s="36">
        <v>9.248291571753986E-2</v>
      </c>
      <c r="AH8" s="36">
        <v>0.69339407744874715</v>
      </c>
      <c r="AI8" s="36">
        <v>0.66856492027334857</v>
      </c>
      <c r="AJ8" s="36">
        <v>0.37289293849658306</v>
      </c>
      <c r="AK8" s="36">
        <v>8.0410022779043244E-2</v>
      </c>
      <c r="AL8" s="36">
        <v>0</v>
      </c>
      <c r="AM8" s="36">
        <v>0.23599088838268789</v>
      </c>
      <c r="AN8" s="36">
        <v>0.16492027334851936</v>
      </c>
    </row>
    <row r="9" spans="1:40">
      <c r="A9" s="34">
        <v>8</v>
      </c>
      <c r="B9" s="35" t="s">
        <v>89</v>
      </c>
      <c r="C9" s="35">
        <v>0.56731962579953155</v>
      </c>
      <c r="D9" s="35" t="s">
        <v>72</v>
      </c>
      <c r="E9" s="36">
        <v>2.0396270396270395E-3</v>
      </c>
      <c r="F9" s="36">
        <v>0.15763403263403264</v>
      </c>
      <c r="G9" s="36">
        <v>5.8275058275058275E-4</v>
      </c>
      <c r="H9" s="36">
        <v>3.6130536130536128E-2</v>
      </c>
      <c r="I9" s="36">
        <v>9.0617715617715616E-2</v>
      </c>
      <c r="J9" s="36">
        <v>1.9813519813519812E-2</v>
      </c>
      <c r="K9" s="36">
        <v>5.6526806526806528E-2</v>
      </c>
      <c r="L9" s="36">
        <v>2.9137529137529138E-4</v>
      </c>
      <c r="M9" s="36">
        <v>0.54545454545454541</v>
      </c>
      <c r="N9" s="36">
        <v>2.505827505827506E-2</v>
      </c>
      <c r="O9" s="36">
        <v>0.44230769230769229</v>
      </c>
      <c r="P9" s="36">
        <v>0.30040792540792538</v>
      </c>
      <c r="Q9" s="36">
        <v>1.5734265734265736E-2</v>
      </c>
      <c r="R9" s="36">
        <v>3.2342657342657344E-2</v>
      </c>
      <c r="S9" s="36">
        <v>5.5069930069930072E-2</v>
      </c>
      <c r="T9" s="36">
        <v>0.79574592074592077</v>
      </c>
      <c r="U9" s="36">
        <v>0.40034965034965037</v>
      </c>
      <c r="V9" s="36">
        <v>0</v>
      </c>
      <c r="W9" s="36">
        <v>2.9137529137529138E-4</v>
      </c>
      <c r="X9" s="36">
        <v>0.20163170163170163</v>
      </c>
      <c r="Y9" s="36">
        <v>1</v>
      </c>
      <c r="Z9" s="36">
        <v>4.662004662004662E-3</v>
      </c>
      <c r="AA9" s="36">
        <v>2.0396270396270395E-3</v>
      </c>
      <c r="AB9" s="36">
        <v>2.0396270396270395E-3</v>
      </c>
      <c r="AC9" s="36">
        <v>2.6223776223776225E-3</v>
      </c>
      <c r="AD9" s="36">
        <v>0.12441724941724942</v>
      </c>
      <c r="AE9" s="36">
        <v>1.1072261072261072E-2</v>
      </c>
      <c r="AF9" s="36">
        <v>7.7505827505827504E-2</v>
      </c>
      <c r="AG9" s="36">
        <v>0.20716783216783216</v>
      </c>
      <c r="AH9" s="36">
        <v>2.9137529137529138E-4</v>
      </c>
      <c r="AI9" s="36">
        <v>0.49446386946386944</v>
      </c>
      <c r="AJ9" s="36">
        <v>0.46940559440559443</v>
      </c>
      <c r="AK9" s="36">
        <v>5.536130536130536E-3</v>
      </c>
      <c r="AL9" s="36">
        <v>0.65705128205128205</v>
      </c>
      <c r="AM9" s="36">
        <v>3.9627039627039624E-2</v>
      </c>
      <c r="AN9" s="36">
        <v>0.20367132867132867</v>
      </c>
    </row>
    <row r="10" spans="1:40">
      <c r="A10" s="34">
        <v>9</v>
      </c>
      <c r="B10" s="35" t="s">
        <v>89</v>
      </c>
      <c r="C10" s="35">
        <v>0.3098471203032141</v>
      </c>
      <c r="D10" s="35" t="s">
        <v>73</v>
      </c>
      <c r="E10" s="36">
        <v>0</v>
      </c>
      <c r="F10" s="36">
        <v>0.15561643835616437</v>
      </c>
      <c r="G10" s="36">
        <v>0</v>
      </c>
      <c r="H10" s="36">
        <v>3.4611872146118723E-2</v>
      </c>
      <c r="I10" s="36">
        <v>2.2191780821917809E-2</v>
      </c>
      <c r="J10" s="36">
        <v>0.14191780821917807</v>
      </c>
      <c r="K10" s="36">
        <v>3.1415525114155254E-2</v>
      </c>
      <c r="L10" s="36">
        <v>0</v>
      </c>
      <c r="M10" s="36">
        <v>0.22694063926940639</v>
      </c>
      <c r="N10" s="36">
        <v>0</v>
      </c>
      <c r="O10" s="36">
        <v>7.6164383561643831E-2</v>
      </c>
      <c r="P10" s="36">
        <v>7.7990867579908682E-2</v>
      </c>
      <c r="Q10" s="36">
        <v>0</v>
      </c>
      <c r="R10" s="36">
        <v>0</v>
      </c>
      <c r="S10" s="36">
        <v>4.80365296803653E-2</v>
      </c>
      <c r="T10" s="36">
        <v>0.26949771689497715</v>
      </c>
      <c r="U10" s="36">
        <v>2.502283105022831E-2</v>
      </c>
      <c r="V10" s="36">
        <v>0</v>
      </c>
      <c r="W10" s="36">
        <v>0</v>
      </c>
      <c r="X10" s="36">
        <v>3.3881278538812787E-2</v>
      </c>
      <c r="Y10" s="36">
        <v>0.30182648401826484</v>
      </c>
      <c r="Z10" s="36">
        <v>0</v>
      </c>
      <c r="AA10" s="36">
        <v>0</v>
      </c>
      <c r="AB10" s="36">
        <v>0</v>
      </c>
      <c r="AC10" s="36">
        <v>0</v>
      </c>
      <c r="AD10" s="36">
        <v>0.14949771689497718</v>
      </c>
      <c r="AE10" s="36">
        <v>0</v>
      </c>
      <c r="AF10" s="36">
        <v>0.21835616438356165</v>
      </c>
      <c r="AG10" s="36">
        <v>0.11643835616438356</v>
      </c>
      <c r="AH10" s="36">
        <v>0</v>
      </c>
      <c r="AI10" s="36">
        <v>1</v>
      </c>
      <c r="AJ10" s="36">
        <v>0.18684931506849314</v>
      </c>
      <c r="AK10" s="36">
        <v>0</v>
      </c>
      <c r="AL10" s="36">
        <v>0.35753424657534244</v>
      </c>
      <c r="AM10" s="36">
        <v>0.20264840182648403</v>
      </c>
      <c r="AN10" s="36">
        <v>0.16091324200913243</v>
      </c>
    </row>
    <row r="11" spans="1:40">
      <c r="A11" s="34">
        <v>10</v>
      </c>
      <c r="B11" s="35" t="s">
        <v>89</v>
      </c>
      <c r="C11" s="35">
        <v>0.12283325389725432</v>
      </c>
      <c r="D11" s="35" t="s">
        <v>74</v>
      </c>
      <c r="E11" s="36">
        <v>0</v>
      </c>
      <c r="F11" s="36">
        <v>0.24324324324324326</v>
      </c>
      <c r="G11" s="36">
        <v>0</v>
      </c>
      <c r="H11" s="36">
        <v>5.4054054054054057E-2</v>
      </c>
      <c r="I11" s="36">
        <v>0.13513513513513514</v>
      </c>
      <c r="J11" s="36">
        <v>2.7027027027027029E-2</v>
      </c>
      <c r="K11" s="36">
        <v>0.1891891891891892</v>
      </c>
      <c r="L11" s="36">
        <v>0</v>
      </c>
      <c r="M11" s="36">
        <v>0.45945945945945948</v>
      </c>
      <c r="N11" s="36">
        <v>0.1891891891891892</v>
      </c>
      <c r="O11" s="36">
        <v>0.45945945945945948</v>
      </c>
      <c r="P11" s="36">
        <v>0.1891891891891892</v>
      </c>
      <c r="Q11" s="36">
        <v>0</v>
      </c>
      <c r="R11" s="36">
        <v>5.4054054054054057E-2</v>
      </c>
      <c r="S11" s="36">
        <v>8.1081081081081086E-2</v>
      </c>
      <c r="T11" s="36">
        <v>0.72972972972972971</v>
      </c>
      <c r="U11" s="36">
        <v>0.3783783783783784</v>
      </c>
      <c r="V11" s="36">
        <v>0</v>
      </c>
      <c r="W11" s="36">
        <v>0</v>
      </c>
      <c r="X11" s="36">
        <v>0.21621621621621623</v>
      </c>
      <c r="Y11" s="36">
        <v>0.91891891891891897</v>
      </c>
      <c r="Z11" s="36">
        <v>2.7027027027027029E-2</v>
      </c>
      <c r="AA11" s="36">
        <v>0</v>
      </c>
      <c r="AB11" s="36">
        <v>0</v>
      </c>
      <c r="AC11" s="36">
        <v>2.7027027027027029E-2</v>
      </c>
      <c r="AD11" s="36">
        <v>0.29729729729729731</v>
      </c>
      <c r="AE11" s="36">
        <v>0</v>
      </c>
      <c r="AF11" s="36">
        <v>0.1891891891891892</v>
      </c>
      <c r="AG11" s="36">
        <v>0.21621621621621623</v>
      </c>
      <c r="AH11" s="36">
        <v>0</v>
      </c>
      <c r="AI11" s="36">
        <v>0.48648648648648651</v>
      </c>
      <c r="AJ11" s="36">
        <v>0.32432432432432434</v>
      </c>
      <c r="AK11" s="36">
        <v>0</v>
      </c>
      <c r="AL11" s="36">
        <v>1</v>
      </c>
      <c r="AM11" s="36">
        <v>0.10810810810810811</v>
      </c>
      <c r="AN11" s="36">
        <v>0.10810810810810811</v>
      </c>
    </row>
    <row r="12" spans="1:40">
      <c r="A12" s="34">
        <v>11</v>
      </c>
      <c r="B12" s="35" t="s">
        <v>90</v>
      </c>
      <c r="C12" s="35">
        <v>0.5</v>
      </c>
      <c r="D12" s="35" t="s">
        <v>75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  <c r="O12" s="34">
        <v>1</v>
      </c>
      <c r="P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X12" s="34">
        <v>0</v>
      </c>
      <c r="Y12" s="34">
        <v>1</v>
      </c>
      <c r="Z12" s="34">
        <v>0</v>
      </c>
      <c r="AA12" s="34">
        <v>0</v>
      </c>
      <c r="AB12" s="34">
        <v>0</v>
      </c>
      <c r="AC12" s="34">
        <v>0</v>
      </c>
      <c r="AD12" s="34">
        <v>1</v>
      </c>
      <c r="AE12" s="34">
        <v>0</v>
      </c>
      <c r="AF12" s="34">
        <v>0</v>
      </c>
      <c r="AG12" s="34">
        <v>0</v>
      </c>
      <c r="AH12" s="34">
        <v>0</v>
      </c>
      <c r="AI12" s="34">
        <v>1</v>
      </c>
      <c r="AJ12" s="34">
        <v>1</v>
      </c>
      <c r="AK12" s="34">
        <v>0</v>
      </c>
      <c r="AL12" s="34">
        <v>0</v>
      </c>
      <c r="AM12" s="34">
        <v>0</v>
      </c>
      <c r="AN12" s="34">
        <v>0</v>
      </c>
    </row>
    <row r="13" spans="1:40">
      <c r="A13" s="34">
        <v>12</v>
      </c>
      <c r="B13" s="35" t="s">
        <v>90</v>
      </c>
      <c r="C13" s="35">
        <v>0.5</v>
      </c>
      <c r="D13" s="35" t="s">
        <v>96</v>
      </c>
      <c r="E13" s="36">
        <v>5.2303262955854128E-2</v>
      </c>
      <c r="F13" s="36">
        <v>0.2605566218809981</v>
      </c>
      <c r="G13" s="36">
        <v>2.1593090211132437E-2</v>
      </c>
      <c r="H13" s="36">
        <v>0.38675623800383879</v>
      </c>
      <c r="I13" s="36">
        <v>2.7831094049904029E-2</v>
      </c>
      <c r="J13" s="36">
        <v>0.34021113243761997</v>
      </c>
      <c r="K13" s="36">
        <v>6.8618042226487527E-2</v>
      </c>
      <c r="L13" s="36">
        <v>2.1593090211132437E-2</v>
      </c>
      <c r="M13" s="36">
        <v>0.20057581573896352</v>
      </c>
      <c r="N13" s="36">
        <v>0.11324376199616124</v>
      </c>
      <c r="O13" s="36">
        <v>0.42274472168905952</v>
      </c>
      <c r="P13" s="36">
        <v>0.46880998080614206</v>
      </c>
      <c r="Q13" s="36">
        <v>0.13051823416506717</v>
      </c>
      <c r="R13" s="36">
        <v>0.55470249520153547</v>
      </c>
      <c r="S13" s="36">
        <v>1.6794625719769675E-2</v>
      </c>
      <c r="T13" s="36">
        <v>1</v>
      </c>
      <c r="U13" s="36">
        <v>0.44673704414587334</v>
      </c>
      <c r="V13" s="36">
        <v>2.3992322456813818E-3</v>
      </c>
      <c r="W13" s="36">
        <v>0</v>
      </c>
      <c r="X13" s="36">
        <v>0.73464491362763917</v>
      </c>
      <c r="Y13" s="36">
        <v>0.30518234165067176</v>
      </c>
      <c r="Z13" s="36">
        <v>7.1976967370441458E-2</v>
      </c>
      <c r="AA13" s="36">
        <v>3.4069097888675626E-2</v>
      </c>
      <c r="AB13" s="36">
        <v>0</v>
      </c>
      <c r="AC13" s="36">
        <v>7.677543186180422E-3</v>
      </c>
      <c r="AD13" s="36">
        <v>0.19001919385796545</v>
      </c>
      <c r="AE13" s="36">
        <v>1.7274472168905951E-2</v>
      </c>
      <c r="AF13" s="36">
        <v>9.0211132437619967E-2</v>
      </c>
      <c r="AG13" s="36">
        <v>0.33637236084452976</v>
      </c>
      <c r="AH13" s="36">
        <v>0</v>
      </c>
      <c r="AI13" s="36">
        <v>0.24760076775431861</v>
      </c>
      <c r="AJ13" s="36">
        <v>0.17130518234165068</v>
      </c>
      <c r="AK13" s="36">
        <v>3.0230326295585412E-2</v>
      </c>
      <c r="AL13" s="36">
        <v>0.390595009596929</v>
      </c>
      <c r="AM13" s="36">
        <v>0.45249520153550865</v>
      </c>
      <c r="AN13" s="36">
        <v>4.7024952015355087E-2</v>
      </c>
    </row>
    <row r="14" spans="1:40">
      <c r="A14" s="34">
        <v>13</v>
      </c>
      <c r="B14" s="35" t="s">
        <v>91</v>
      </c>
      <c r="C14" s="35">
        <v>0.66578151522961482</v>
      </c>
      <c r="D14" s="35" t="s">
        <v>77</v>
      </c>
      <c r="E14" s="36">
        <v>0</v>
      </c>
      <c r="F14" s="36">
        <v>0.73333333333333328</v>
      </c>
      <c r="G14" s="36">
        <v>0</v>
      </c>
      <c r="H14" s="36">
        <v>0.26666666666666666</v>
      </c>
      <c r="I14" s="36">
        <v>0</v>
      </c>
      <c r="J14" s="36">
        <v>6.6666666666666666E-2</v>
      </c>
      <c r="K14" s="36">
        <v>0</v>
      </c>
      <c r="L14" s="36">
        <v>0</v>
      </c>
      <c r="M14" s="36">
        <v>0.73333333333333328</v>
      </c>
      <c r="N14" s="36">
        <v>6.6666666666666666E-2</v>
      </c>
      <c r="O14" s="36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0.66666666666666663</v>
      </c>
      <c r="U14" s="36">
        <v>0.13333333333333333</v>
      </c>
      <c r="V14" s="36">
        <v>0</v>
      </c>
      <c r="W14" s="36">
        <v>0</v>
      </c>
      <c r="X14" s="36">
        <v>0.26666666666666666</v>
      </c>
      <c r="Y14" s="36">
        <v>0</v>
      </c>
      <c r="Z14" s="36">
        <v>0</v>
      </c>
      <c r="AA14" s="36">
        <v>6.6666666666666666E-2</v>
      </c>
      <c r="AB14" s="36">
        <v>0.53333333333333333</v>
      </c>
      <c r="AC14" s="36">
        <v>0</v>
      </c>
      <c r="AD14" s="36">
        <v>0</v>
      </c>
      <c r="AE14" s="36">
        <v>0</v>
      </c>
      <c r="AF14" s="36">
        <v>0.8</v>
      </c>
      <c r="AG14" s="36">
        <v>0.6</v>
      </c>
      <c r="AH14" s="36">
        <v>0.4</v>
      </c>
      <c r="AI14" s="36">
        <v>1</v>
      </c>
      <c r="AJ14" s="36">
        <v>0</v>
      </c>
      <c r="AK14" s="36">
        <v>0</v>
      </c>
      <c r="AL14" s="36">
        <v>6.6666666666666666E-2</v>
      </c>
      <c r="AM14" s="36">
        <v>6.6666666666666666E-2</v>
      </c>
      <c r="AN14" s="36">
        <v>0</v>
      </c>
    </row>
    <row r="15" spans="1:40">
      <c r="A15" s="34">
        <v>14</v>
      </c>
      <c r="B15" s="35" t="s">
        <v>91</v>
      </c>
      <c r="C15" s="35">
        <v>0.27000616605721323</v>
      </c>
      <c r="D15" s="35" t="s">
        <v>78</v>
      </c>
      <c r="E15" s="36">
        <v>0.25545454545454543</v>
      </c>
      <c r="F15" s="36">
        <v>0.49</v>
      </c>
      <c r="G15" s="36">
        <v>0.24454545454545454</v>
      </c>
      <c r="H15" s="36">
        <v>0.39</v>
      </c>
      <c r="I15" s="36">
        <v>0.18</v>
      </c>
      <c r="J15" s="36">
        <v>0.16727272727272727</v>
      </c>
      <c r="K15" s="36">
        <v>0.22454545454545455</v>
      </c>
      <c r="L15" s="36">
        <v>3.4545454545454546E-2</v>
      </c>
      <c r="M15" s="36">
        <v>0.36</v>
      </c>
      <c r="N15" s="36">
        <v>0.18181818181818182</v>
      </c>
      <c r="O15" s="36">
        <v>0.36636363636363639</v>
      </c>
      <c r="P15" s="36">
        <v>0.65181818181818185</v>
      </c>
      <c r="Q15" s="36">
        <v>0.4209090909090909</v>
      </c>
      <c r="R15" s="36">
        <v>1</v>
      </c>
      <c r="S15" s="36">
        <v>0.26636363636363636</v>
      </c>
      <c r="T15" s="36">
        <v>0.65</v>
      </c>
      <c r="U15" s="36">
        <v>0.79181818181818187</v>
      </c>
      <c r="V15" s="36">
        <v>5.454545454545455E-3</v>
      </c>
      <c r="W15" s="36">
        <v>1.8181818181818182E-3</v>
      </c>
      <c r="X15" s="36">
        <v>0.88181818181818183</v>
      </c>
      <c r="Y15" s="36">
        <v>0.4490909090909091</v>
      </c>
      <c r="Z15" s="36">
        <v>0</v>
      </c>
      <c r="AA15" s="36">
        <v>0.29363636363636364</v>
      </c>
      <c r="AB15" s="36">
        <v>5.7272727272727274E-2</v>
      </c>
      <c r="AC15" s="36">
        <v>2.181818181818182E-2</v>
      </c>
      <c r="AD15" s="36">
        <v>0.33090909090909093</v>
      </c>
      <c r="AE15" s="36">
        <v>0.51363636363636367</v>
      </c>
      <c r="AF15" s="36">
        <v>0.40363636363636363</v>
      </c>
      <c r="AG15" s="36">
        <v>0.47818181818181821</v>
      </c>
      <c r="AH15" s="36">
        <v>0.01</v>
      </c>
      <c r="AI15" s="36">
        <v>0.98909090909090913</v>
      </c>
      <c r="AJ15" s="36">
        <v>0.66181818181818186</v>
      </c>
      <c r="AK15" s="36">
        <v>0.20363636363636364</v>
      </c>
      <c r="AL15" s="36">
        <v>0.68909090909090909</v>
      </c>
      <c r="AM15" s="36">
        <v>0.77</v>
      </c>
      <c r="AN15" s="36">
        <v>0.32818181818181819</v>
      </c>
    </row>
    <row r="16" spans="1:40">
      <c r="A16" s="34">
        <v>15</v>
      </c>
      <c r="B16" s="35" t="s">
        <v>91</v>
      </c>
      <c r="C16" s="35">
        <v>6.4212318713172067E-2</v>
      </c>
      <c r="D16" s="35" t="s">
        <v>97</v>
      </c>
      <c r="E16" s="34">
        <v>1</v>
      </c>
      <c r="F16" s="34">
        <v>0.25</v>
      </c>
      <c r="G16" s="34">
        <v>0.86</v>
      </c>
      <c r="H16" s="34">
        <v>1</v>
      </c>
      <c r="I16" s="34">
        <v>1</v>
      </c>
      <c r="J16" s="34">
        <v>1</v>
      </c>
      <c r="K16" s="34">
        <v>0</v>
      </c>
      <c r="L16" s="34">
        <v>0.75</v>
      </c>
      <c r="M16" s="34">
        <v>0.75</v>
      </c>
      <c r="N16" s="34">
        <v>0.75</v>
      </c>
      <c r="O16" s="34">
        <v>0.75</v>
      </c>
      <c r="P16" s="34">
        <v>1</v>
      </c>
      <c r="Q16" s="34">
        <v>0.71</v>
      </c>
      <c r="R16" s="34">
        <v>1</v>
      </c>
      <c r="S16" s="34">
        <v>0.75</v>
      </c>
      <c r="T16" s="34">
        <v>0.5</v>
      </c>
      <c r="U16" s="34">
        <v>1</v>
      </c>
      <c r="V16" s="34">
        <v>1</v>
      </c>
      <c r="W16" s="34">
        <v>0.5</v>
      </c>
      <c r="X16" s="34">
        <v>0.75</v>
      </c>
      <c r="Y16" s="34">
        <v>0.5</v>
      </c>
      <c r="Z16" s="34">
        <v>1</v>
      </c>
      <c r="AA16" s="34">
        <v>1</v>
      </c>
      <c r="AB16" s="34">
        <v>0.86</v>
      </c>
      <c r="AC16" s="34">
        <v>0.86</v>
      </c>
      <c r="AD16" s="34">
        <v>1</v>
      </c>
      <c r="AE16" s="34">
        <v>1</v>
      </c>
      <c r="AF16" s="34">
        <v>0.5</v>
      </c>
      <c r="AG16" s="34">
        <v>0.25</v>
      </c>
      <c r="AH16" s="34">
        <v>1</v>
      </c>
      <c r="AI16" s="34">
        <v>0.75</v>
      </c>
      <c r="AJ16" s="34">
        <v>0.5</v>
      </c>
      <c r="AK16" s="34">
        <v>1</v>
      </c>
      <c r="AL16" s="34">
        <v>1</v>
      </c>
      <c r="AM16" s="34">
        <v>0.43</v>
      </c>
      <c r="AN16" s="34">
        <v>0.5</v>
      </c>
    </row>
    <row r="17" spans="5:40">
      <c r="E17">
        <f>SUMPRODUCT($C$3:$C$16,E3:E16)</f>
        <v>0.50076065178658991</v>
      </c>
      <c r="F17">
        <f t="shared" ref="F17:AN17" si="0">SUMPRODUCT($C$3:$C$16,F3:F16)</f>
        <v>1.7831139592881911</v>
      </c>
      <c r="G17">
        <f t="shared" si="0"/>
        <v>0.26455161692566609</v>
      </c>
      <c r="H17">
        <f t="shared" si="0"/>
        <v>0.84105203483951074</v>
      </c>
      <c r="I17">
        <f t="shared" si="0"/>
        <v>0.52120090056089041</v>
      </c>
      <c r="J17">
        <f t="shared" si="0"/>
        <v>0.8679980259696074</v>
      </c>
      <c r="K17">
        <f t="shared" si="0"/>
        <v>0.35681239745589372</v>
      </c>
      <c r="L17">
        <f t="shared" si="0"/>
        <v>0.16157814012843869</v>
      </c>
      <c r="M17">
        <f t="shared" si="0"/>
        <v>2.018753251208881</v>
      </c>
      <c r="N17">
        <f t="shared" si="0"/>
        <v>0.84455371509260435</v>
      </c>
      <c r="O17">
        <f t="shared" si="0"/>
        <v>2.1295035832495182</v>
      </c>
      <c r="P17">
        <f t="shared" si="0"/>
        <v>1.3145391081441753</v>
      </c>
      <c r="Q17">
        <f t="shared" si="0"/>
        <v>0.64602199179179054</v>
      </c>
      <c r="R17">
        <f t="shared" si="0"/>
        <v>0.87528080538892361</v>
      </c>
      <c r="S17">
        <f t="shared" si="0"/>
        <v>0.42115727484276794</v>
      </c>
      <c r="T17">
        <f t="shared" si="0"/>
        <v>2.6190504505666694</v>
      </c>
      <c r="U17">
        <f t="shared" si="0"/>
        <v>1.6075278637752939</v>
      </c>
      <c r="V17">
        <f t="shared" si="0"/>
        <v>0.57329536243829771</v>
      </c>
      <c r="W17">
        <f t="shared" si="0"/>
        <v>0.22801381669754658</v>
      </c>
      <c r="X17">
        <f t="shared" si="0"/>
        <v>1.6203497932557211</v>
      </c>
      <c r="Y17">
        <f t="shared" si="0"/>
        <v>2.8511336835250325</v>
      </c>
      <c r="Z17">
        <f t="shared" si="0"/>
        <v>0.32843307322962961</v>
      </c>
      <c r="AA17">
        <f t="shared" si="0"/>
        <v>0.34651911643898814</v>
      </c>
      <c r="AB17">
        <f t="shared" si="0"/>
        <v>0.74746467473150557</v>
      </c>
      <c r="AC17">
        <f t="shared" si="0"/>
        <v>0.26200447577514058</v>
      </c>
      <c r="AD17">
        <f t="shared" si="0"/>
        <v>1.3254867760301003</v>
      </c>
      <c r="AE17">
        <f t="shared" si="0"/>
        <v>0.42213444230078784</v>
      </c>
      <c r="AF17">
        <f t="shared" si="0"/>
        <v>1.4261703975471109</v>
      </c>
      <c r="AG17">
        <f t="shared" si="0"/>
        <v>1.4727216919038504</v>
      </c>
      <c r="AH17">
        <f t="shared" si="0"/>
        <v>0.63547551349313447</v>
      </c>
      <c r="AI17">
        <f t="shared" si="0"/>
        <v>3.6290863508905664</v>
      </c>
      <c r="AJ17">
        <f t="shared" si="0"/>
        <v>1.8920189366168099</v>
      </c>
      <c r="AK17">
        <f t="shared" si="0"/>
        <v>0.24107586262054906</v>
      </c>
      <c r="AL17">
        <f t="shared" si="0"/>
        <v>2.0950910768216318</v>
      </c>
      <c r="AM17">
        <f t="shared" si="0"/>
        <v>0.97201647374222078</v>
      </c>
      <c r="AN17">
        <f t="shared" si="0"/>
        <v>0.85371516305240824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41FD3-09C9-4341-842F-0D561431A49C}">
  <dimension ref="A1:D37"/>
  <sheetViews>
    <sheetView workbookViewId="0">
      <selection activeCell="F39" sqref="F39"/>
    </sheetView>
  </sheetViews>
  <sheetFormatPr defaultRowHeight="12.75"/>
  <cols>
    <col min="2" max="2" width="8.28515625" bestFit="1" customWidth="1"/>
    <col min="3" max="3" width="38.140625" bestFit="1" customWidth="1"/>
  </cols>
  <sheetData>
    <row r="1" spans="1:4">
      <c r="A1" s="17"/>
      <c r="B1" s="17" t="s">
        <v>0</v>
      </c>
      <c r="C1" s="17" t="s">
        <v>105</v>
      </c>
      <c r="D1" s="17" t="s">
        <v>104</v>
      </c>
    </row>
    <row r="2" spans="1:4">
      <c r="B2" s="38">
        <v>1</v>
      </c>
      <c r="C2" t="s">
        <v>28</v>
      </c>
      <c r="D2" s="37">
        <f ca="1">SUMPRODUCT($D$3:$D$16,#REF!)</f>
        <v>3.6290863508905664</v>
      </c>
    </row>
    <row r="3" spans="1:4">
      <c r="B3" s="38">
        <v>2</v>
      </c>
      <c r="C3" t="s">
        <v>17</v>
      </c>
      <c r="D3" s="37">
        <f ca="1">SUMPRODUCT($D$3:$D$16,#REF!)</f>
        <v>2.8511336835250325</v>
      </c>
    </row>
    <row r="4" spans="1:4">
      <c r="B4" s="38">
        <v>3</v>
      </c>
      <c r="C4" t="s">
        <v>14</v>
      </c>
      <c r="D4" s="37">
        <f ca="1">SUMPRODUCT($D$3:$D$16,#REF!)</f>
        <v>2.6190504505666694</v>
      </c>
    </row>
    <row r="5" spans="1:4">
      <c r="B5" s="38">
        <v>4</v>
      </c>
      <c r="C5" t="s">
        <v>9</v>
      </c>
      <c r="D5" s="37">
        <f ca="1">SUMPRODUCT($D$3:$D$16,#REF!)</f>
        <v>2.1295035832495182</v>
      </c>
    </row>
    <row r="6" spans="1:4">
      <c r="B6" s="38">
        <v>5</v>
      </c>
      <c r="C6" t="s">
        <v>33</v>
      </c>
      <c r="D6" s="37">
        <f ca="1">SUMPRODUCT($D$3:$D$16,#REF!)</f>
        <v>2.0950910768216318</v>
      </c>
    </row>
    <row r="7" spans="1:4">
      <c r="B7" s="38">
        <v>6</v>
      </c>
      <c r="C7" t="s">
        <v>39</v>
      </c>
      <c r="D7" s="37">
        <f ca="1">SUMPRODUCT($D$3:$D$16,#REF!)</f>
        <v>2.018753251208881</v>
      </c>
    </row>
    <row r="8" spans="1:4">
      <c r="B8" s="38">
        <v>7</v>
      </c>
      <c r="C8" t="s">
        <v>30</v>
      </c>
      <c r="D8" s="37">
        <f ca="1">SUMPRODUCT($D$3:$D$16,#REF!)</f>
        <v>1.8920189366168099</v>
      </c>
    </row>
    <row r="9" spans="1:4">
      <c r="B9" s="38">
        <v>8</v>
      </c>
      <c r="C9" t="s">
        <v>2</v>
      </c>
      <c r="D9" s="37">
        <f ca="1">SUMPRODUCT($D$3:$D$16,#REF!)</f>
        <v>1.7831139592881911</v>
      </c>
    </row>
    <row r="10" spans="1:4">
      <c r="B10" s="38">
        <v>9</v>
      </c>
      <c r="C10" t="s">
        <v>16</v>
      </c>
      <c r="D10" s="37">
        <f ca="1">SUMPRODUCT($D$3:$D$16,#REF!)</f>
        <v>1.6203497932557211</v>
      </c>
    </row>
    <row r="11" spans="1:4">
      <c r="B11" s="38">
        <v>10</v>
      </c>
      <c r="C11" t="s">
        <v>15</v>
      </c>
      <c r="D11" s="37">
        <f ca="1">SUMPRODUCT($D$3:$D$16,#REF!)</f>
        <v>1.6075278637752939</v>
      </c>
    </row>
    <row r="12" spans="1:4">
      <c r="B12" s="38">
        <v>11</v>
      </c>
      <c r="C12" t="s">
        <v>26</v>
      </c>
      <c r="D12" s="37">
        <f ca="1">SUMPRODUCT($D$3:$D$16,#REF!)</f>
        <v>1.4727216919038504</v>
      </c>
    </row>
    <row r="13" spans="1:4">
      <c r="B13" s="38">
        <v>12</v>
      </c>
      <c r="C13" t="s">
        <v>25</v>
      </c>
      <c r="D13" s="37">
        <f ca="1">SUMPRODUCT($D$3:$D$16,#REF!)</f>
        <v>1.4261703975471109</v>
      </c>
    </row>
    <row r="14" spans="1:4">
      <c r="B14" s="38">
        <v>13</v>
      </c>
      <c r="C14" t="s">
        <v>23</v>
      </c>
      <c r="D14" s="37">
        <f ca="1">SUMPRODUCT($D$3:$D$16,#REF!)</f>
        <v>1.3254867760301003</v>
      </c>
    </row>
    <row r="15" spans="1:4">
      <c r="B15" s="38">
        <v>14</v>
      </c>
      <c r="C15" t="s">
        <v>11</v>
      </c>
      <c r="D15" s="37">
        <f ca="1">SUMPRODUCT($D$3:$D$16,#REF!)</f>
        <v>1.3145391081441753</v>
      </c>
    </row>
    <row r="16" spans="1:4">
      <c r="B16" s="38">
        <v>15</v>
      </c>
      <c r="C16" t="s">
        <v>34</v>
      </c>
      <c r="D16" s="37">
        <f ca="1">SUMPRODUCT($D$3:$D$16,#REF!)</f>
        <v>0.97201647374222078</v>
      </c>
    </row>
    <row r="17" spans="2:4">
      <c r="B17" s="38">
        <v>16</v>
      </c>
      <c r="C17" t="s">
        <v>40</v>
      </c>
      <c r="D17" s="37">
        <f ca="1">SUMPRODUCT($D$3:$D$16,#REF!)</f>
        <v>0.87528080538892361</v>
      </c>
    </row>
    <row r="18" spans="2:4">
      <c r="B18" s="38">
        <v>17</v>
      </c>
      <c r="C18" t="s">
        <v>37</v>
      </c>
      <c r="D18" s="37">
        <f ca="1">SUMPRODUCT($D$3:$D$16,#REF!)</f>
        <v>0.8679980259696074</v>
      </c>
    </row>
    <row r="19" spans="2:4">
      <c r="B19" s="38">
        <v>18</v>
      </c>
      <c r="C19" t="s">
        <v>35</v>
      </c>
      <c r="D19" s="37">
        <f ca="1">SUMPRODUCT($D$3:$D$16,#REF!)</f>
        <v>0.85371516305240824</v>
      </c>
    </row>
    <row r="20" spans="2:4">
      <c r="B20" s="38">
        <v>19</v>
      </c>
      <c r="C20" t="s">
        <v>8</v>
      </c>
      <c r="D20" s="37">
        <f ca="1">SUMPRODUCT($D$3:$D$16,#REF!)</f>
        <v>0.84455371509260435</v>
      </c>
    </row>
    <row r="21" spans="2:4">
      <c r="B21" s="38">
        <v>20</v>
      </c>
      <c r="C21" t="s">
        <v>5</v>
      </c>
      <c r="D21" s="37">
        <f ca="1">SUMPRODUCT($D$3:$D$16,#REF!)</f>
        <v>0.84105203483951074</v>
      </c>
    </row>
    <row r="22" spans="2:4">
      <c r="B22" s="38">
        <v>21</v>
      </c>
      <c r="C22" t="s">
        <v>21</v>
      </c>
      <c r="D22" s="37">
        <f ca="1">SUMPRODUCT($D$3:$D$16,#REF!)</f>
        <v>0.74746467473150557</v>
      </c>
    </row>
    <row r="23" spans="2:4">
      <c r="B23" s="38">
        <v>22</v>
      </c>
      <c r="C23" t="s">
        <v>12</v>
      </c>
      <c r="D23" s="37">
        <f ca="1">SUMPRODUCT($D$3:$D$16,#REF!)</f>
        <v>0.64602199179179054</v>
      </c>
    </row>
    <row r="24" spans="2:4">
      <c r="B24" s="38">
        <v>23</v>
      </c>
      <c r="C24" t="s">
        <v>27</v>
      </c>
      <c r="D24" s="37">
        <f ca="1">SUMPRODUCT($D$3:$D$16,#REF!)</f>
        <v>0.63547551349313447</v>
      </c>
    </row>
    <row r="25" spans="2:4">
      <c r="B25" s="38">
        <v>24</v>
      </c>
      <c r="C25" t="s">
        <v>41</v>
      </c>
      <c r="D25" s="37">
        <f ca="1">SUMPRODUCT($D$3:$D$16,#REF!)</f>
        <v>0.57329536243829771</v>
      </c>
    </row>
    <row r="26" spans="2:4">
      <c r="B26" s="38">
        <v>25</v>
      </c>
      <c r="C26" t="s">
        <v>6</v>
      </c>
      <c r="D26" s="37">
        <f ca="1">SUMPRODUCT($D$3:$D$16,#REF!)</f>
        <v>0.52120090056089041</v>
      </c>
    </row>
    <row r="27" spans="2:4">
      <c r="B27" s="38">
        <v>26</v>
      </c>
      <c r="C27" t="s">
        <v>36</v>
      </c>
      <c r="D27" s="37">
        <f ca="1">SUMPRODUCT($D$3:$D$16,#REF!)</f>
        <v>0.50076065178658991</v>
      </c>
    </row>
    <row r="28" spans="2:4">
      <c r="B28" s="38">
        <v>27</v>
      </c>
      <c r="C28" t="s">
        <v>43</v>
      </c>
      <c r="D28" s="37">
        <f ca="1">SUMPRODUCT($D$3:$D$16,#REF!)</f>
        <v>0.42213444230078784</v>
      </c>
    </row>
    <row r="29" spans="2:4">
      <c r="B29" s="38">
        <v>28</v>
      </c>
      <c r="C29" t="s">
        <v>13</v>
      </c>
      <c r="D29" s="37">
        <f ca="1">SUMPRODUCT($D$3:$D$16,#REF!)</f>
        <v>0.42115727484276794</v>
      </c>
    </row>
    <row r="30" spans="2:4">
      <c r="B30" s="38">
        <v>29</v>
      </c>
      <c r="C30" t="s">
        <v>7</v>
      </c>
      <c r="D30" s="37">
        <f ca="1">SUMPRODUCT($D$3:$D$16,#REF!)</f>
        <v>0.35681239745589372</v>
      </c>
    </row>
    <row r="31" spans="2:4">
      <c r="B31" s="38">
        <v>30</v>
      </c>
      <c r="C31" t="s">
        <v>20</v>
      </c>
      <c r="D31" s="37">
        <f ca="1">SUMPRODUCT($D$3:$D$16,#REF!)</f>
        <v>0.34651911643898814</v>
      </c>
    </row>
    <row r="32" spans="2:4">
      <c r="B32" s="38">
        <v>31</v>
      </c>
      <c r="C32" t="s">
        <v>19</v>
      </c>
      <c r="D32" s="37">
        <f ca="1">SUMPRODUCT($D$3:$D$16,#REF!)</f>
        <v>0.32843307322962961</v>
      </c>
    </row>
    <row r="33" spans="2:4">
      <c r="B33" s="38">
        <v>32</v>
      </c>
      <c r="C33" t="s">
        <v>4</v>
      </c>
      <c r="D33" s="37">
        <f ca="1">SUMPRODUCT($D$3:$D$16,#REF!)</f>
        <v>0.26455161692566609</v>
      </c>
    </row>
    <row r="34" spans="2:4">
      <c r="B34" s="38">
        <v>33</v>
      </c>
      <c r="C34" t="s">
        <v>22</v>
      </c>
      <c r="D34" s="37">
        <f ca="1">SUMPRODUCT($D$3:$D$16,#REF!)</f>
        <v>0.26200447577514058</v>
      </c>
    </row>
    <row r="35" spans="2:4">
      <c r="B35" s="38">
        <v>34</v>
      </c>
      <c r="C35" t="s">
        <v>32</v>
      </c>
      <c r="D35" s="37">
        <f ca="1">SUMPRODUCT($D$3:$D$16,#REF!)</f>
        <v>0.24107586262054906</v>
      </c>
    </row>
    <row r="36" spans="2:4">
      <c r="B36" s="38">
        <v>35</v>
      </c>
      <c r="C36" t="s">
        <v>42</v>
      </c>
      <c r="D36" s="37">
        <f ca="1">SUMPRODUCT($D$3:$D$16,#REF!)</f>
        <v>0.22801381669754658</v>
      </c>
    </row>
    <row r="37" spans="2:4">
      <c r="B37" s="38">
        <v>36</v>
      </c>
      <c r="C37" t="s">
        <v>38</v>
      </c>
      <c r="D37" s="37">
        <f ca="1">SUMPRODUCT($D$3:$D$16,#REF!)</f>
        <v>0.16157814012843869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AHP_Parameters</vt:lpstr>
      <vt:lpstr>AHP_Factor-wise</vt:lpstr>
      <vt:lpstr>AI_readiness_Data_Transposed</vt:lpstr>
      <vt:lpstr>Normalized_Data</vt:lpstr>
      <vt:lpstr>Scoring</vt:lpstr>
      <vt:lpstr>States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</dc:creator>
  <cp:lastModifiedBy>Prakhyat Jain</cp:lastModifiedBy>
  <dcterms:created xsi:type="dcterms:W3CDTF">2025-11-22T11:34:55Z</dcterms:created>
  <dcterms:modified xsi:type="dcterms:W3CDTF">2025-12-01T15:22:36Z</dcterms:modified>
</cp:coreProperties>
</file>